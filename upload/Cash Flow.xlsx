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613DF2FE-B39A-4F22-AB45-36D72F11ABC5}" xr6:coauthVersionLast="47" xr6:coauthVersionMax="47" xr10:uidLastSave="{00000000-0000-0000-0000-000000000000}"/>
  <bookViews>
    <workbookView xWindow="-110" yWindow="-110" windowWidth="19420" windowHeight="10300" xr2:uid="{34A8AC03-F26C-4419-ADCF-B16BE6B3D97D}"/>
  </bookViews>
  <sheets>
    <sheet name="Cash Flow" sheetId="1" r:id="rId1"/>
  </sheets>
  <externalReferences>
    <externalReference r:id="rId2"/>
  </externalReferences>
  <definedNames>
    <definedName name="Checkbook">#REF!</definedName>
    <definedName name="data">#REF!</definedName>
    <definedName name="data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9" i="1" l="1"/>
  <c r="N89" i="1"/>
  <c r="M89" i="1"/>
  <c r="L89" i="1"/>
  <c r="K89" i="1"/>
  <c r="J89" i="1"/>
  <c r="I89" i="1"/>
  <c r="H89" i="1"/>
  <c r="G89" i="1"/>
  <c r="F89" i="1"/>
  <c r="E89" i="1"/>
  <c r="N81" i="1"/>
  <c r="M81" i="1"/>
  <c r="L81" i="1"/>
  <c r="H81" i="1"/>
  <c r="D79" i="1"/>
  <c r="D81" i="1" s="1"/>
  <c r="O52" i="1"/>
  <c r="K52" i="1"/>
  <c r="K81" i="1" s="1"/>
  <c r="J52" i="1"/>
  <c r="I52" i="1"/>
  <c r="H52" i="1"/>
  <c r="G52" i="1"/>
  <c r="F52" i="1"/>
  <c r="J51" i="1"/>
  <c r="J81" i="1" s="1"/>
  <c r="I51" i="1"/>
  <c r="I81" i="1" s="1"/>
  <c r="H51" i="1"/>
  <c r="G51" i="1"/>
  <c r="G81" i="1" s="1"/>
  <c r="F51" i="1"/>
  <c r="F81" i="1" s="1"/>
  <c r="E43" i="1"/>
  <c r="E81" i="1" s="1"/>
  <c r="B43" i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N37" i="1"/>
  <c r="M37" i="1"/>
  <c r="K37" i="1"/>
  <c r="J37" i="1"/>
  <c r="I37" i="1"/>
  <c r="H37" i="1"/>
  <c r="E37" i="1"/>
  <c r="D35" i="1"/>
  <c r="L29" i="1"/>
  <c r="L37" i="1" s="1"/>
  <c r="O27" i="1"/>
  <c r="O51" i="1" s="1"/>
  <c r="O81" i="1" s="1"/>
  <c r="D23" i="1"/>
  <c r="F17" i="1"/>
  <c r="F37" i="1" s="1"/>
  <c r="E17" i="1"/>
  <c r="D16" i="1"/>
  <c r="D37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G13" i="1"/>
  <c r="G37" i="1" s="1"/>
  <c r="E13" i="1"/>
  <c r="D10" i="1"/>
  <c r="Q4" i="1"/>
  <c r="D83" i="1" l="1"/>
  <c r="E10" i="1" s="1"/>
  <c r="E83" i="1" s="1"/>
  <c r="F10" i="1" s="1"/>
  <c r="F83" i="1" s="1"/>
  <c r="G10" i="1" s="1"/>
  <c r="G83" i="1" s="1"/>
  <c r="H10" i="1" s="1"/>
  <c r="H83" i="1" s="1"/>
  <c r="I10" i="1" s="1"/>
  <c r="I83" i="1" s="1"/>
  <c r="J10" i="1" s="1"/>
  <c r="J83" i="1" s="1"/>
  <c r="K10" i="1" s="1"/>
  <c r="K83" i="1" s="1"/>
  <c r="L10" i="1" s="1"/>
  <c r="L83" i="1" s="1"/>
  <c r="M10" i="1" s="1"/>
  <c r="M83" i="1" s="1"/>
  <c r="N10" i="1" s="1"/>
  <c r="N83" i="1" s="1"/>
  <c r="O10" i="1" s="1"/>
  <c r="O83" i="1" s="1"/>
  <c r="Q39" i="1"/>
  <c r="Q83" i="1" s="1"/>
  <c r="Q9" i="1"/>
  <c r="O37" i="1"/>
  <c r="D89" i="1"/>
  <c r="Q86" i="1" l="1"/>
  <c r="Q87" i="1" s="1"/>
  <c r="Q88" i="1" s="1"/>
  <c r="Q85" i="1"/>
</calcChain>
</file>

<file path=xl/sharedStrings.xml><?xml version="1.0" encoding="utf-8"?>
<sst xmlns="http://schemas.openxmlformats.org/spreadsheetml/2006/main" count="151" uniqueCount="77">
  <si>
    <t>ECI - Cash Flow Statement</t>
  </si>
  <si>
    <t>April, 2026 - March, 2027</t>
  </si>
  <si>
    <t>Current Balance at Bank (as per bank books)</t>
  </si>
  <si>
    <t>Banks</t>
  </si>
  <si>
    <t>Bank Al Falah # 0234-1004781004 (G-11 Markaz)</t>
  </si>
  <si>
    <t>FINCA (Operational)</t>
  </si>
  <si>
    <t>Askari Bank (RF)</t>
  </si>
  <si>
    <t>Balance C/F</t>
  </si>
  <si>
    <t>Expected Receipts</t>
  </si>
  <si>
    <t>#</t>
  </si>
  <si>
    <t>Clients</t>
  </si>
  <si>
    <t>Remarks</t>
  </si>
  <si>
    <t>Bid Securities</t>
  </si>
  <si>
    <t>-</t>
  </si>
  <si>
    <t>Invoiced / to be raised</t>
  </si>
  <si>
    <t>BSR - Rise Digital - Interloop, Lahore</t>
  </si>
  <si>
    <t>BSR - Rise Digital (US Apparel &amp; Textiles, Unit # 2)</t>
  </si>
  <si>
    <t xml:space="preserve">Care International - Ext </t>
  </si>
  <si>
    <t>Care International (Phase-I)</t>
  </si>
  <si>
    <t>Pehal Pakistan</t>
  </si>
  <si>
    <t>CWSA</t>
  </si>
  <si>
    <t>GBRSP</t>
  </si>
  <si>
    <t>GIZ - Migration</t>
  </si>
  <si>
    <t>GIZ - TVET</t>
  </si>
  <si>
    <t>IRC - L2E</t>
  </si>
  <si>
    <t>KPITB</t>
  </si>
  <si>
    <t>Nutrition International (MNHN &amp; MMS)</t>
  </si>
  <si>
    <t>PSDF - Mobilization Services</t>
  </si>
  <si>
    <t>PSDF - SDR Lahore &amp; Faisalabad</t>
  </si>
  <si>
    <t>PSDF - SDR Northern Belt</t>
  </si>
  <si>
    <t>PSDF (Online Training Delivery and Mentorship)</t>
  </si>
  <si>
    <t>PSDF (Online Training Delivery and Mentorship) - Additional 150</t>
  </si>
  <si>
    <t>Rozan</t>
  </si>
  <si>
    <t xml:space="preserve">SMEDA - Training, Handholding &amp; Mentoring </t>
  </si>
  <si>
    <t>ST&amp;IT Package-01</t>
  </si>
  <si>
    <t>ST&amp;IT Package-07</t>
  </si>
  <si>
    <t>WWF - CSA</t>
  </si>
  <si>
    <t>WWF - Gender Responsive</t>
  </si>
  <si>
    <t>Total Expected Receipts</t>
  </si>
  <si>
    <t xml:space="preserve">Expected Expenses </t>
  </si>
  <si>
    <t>Heads</t>
  </si>
  <si>
    <t>PSDF - Online Training Delivery and Mentorship</t>
  </si>
  <si>
    <t>PSDF - Online Training Delivery and Mentorship - Additional 150</t>
  </si>
  <si>
    <t>ST&amp;IT</t>
  </si>
  <si>
    <t>Bid Securities for PSDF</t>
  </si>
  <si>
    <t>Director Loan (Dividend/Advance)</t>
  </si>
  <si>
    <t>Markup</t>
  </si>
  <si>
    <t>Directors Life Insurance</t>
  </si>
  <si>
    <t>Electricity</t>
  </si>
  <si>
    <t>Freight Expenses</t>
  </si>
  <si>
    <t>Generator - Maintenance &amp; Fuel</t>
  </si>
  <si>
    <t>Newspaper &amp; Periodical</t>
  </si>
  <si>
    <t>Office Refreshment /Janitorial</t>
  </si>
  <si>
    <t>TMS Monthly Cost</t>
  </si>
  <si>
    <t>Chat GBT/Adobee and TMS</t>
  </si>
  <si>
    <t>Zoom and Google Drive</t>
  </si>
  <si>
    <t xml:space="preserve">Rent Exp </t>
  </si>
  <si>
    <t>Petty Cash</t>
  </si>
  <si>
    <t>Salaries and Staff Transportation and Management Allowances</t>
  </si>
  <si>
    <t>Bonus/Staff Benefits</t>
  </si>
  <si>
    <t>Medical Exp</t>
  </si>
  <si>
    <t>EOBI</t>
  </si>
  <si>
    <t>Equipment Maintenance</t>
  </si>
  <si>
    <t>Repair &amp; Maintenance</t>
  </si>
  <si>
    <t>Stationery &amp; Printing Exp</t>
  </si>
  <si>
    <t xml:space="preserve">Charity </t>
  </si>
  <si>
    <t>Misc. Exp</t>
  </si>
  <si>
    <t>Web Developing, Hosting and Subscription</t>
  </si>
  <si>
    <t>Warer Charges</t>
  </si>
  <si>
    <t>In Misc Expenses Coloum we add Rs. 250,000 Audit Fee</t>
  </si>
  <si>
    <t>Telephone and Internet</t>
  </si>
  <si>
    <t>Total Expected Expenses</t>
  </si>
  <si>
    <t>Forecast Bank Balance</t>
  </si>
  <si>
    <t>Minimum more business required to meet funds flow</t>
  </si>
  <si>
    <t>Profit Margin</t>
  </si>
  <si>
    <t>Net Balance</t>
  </si>
  <si>
    <t>Monthly Operational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</si>
</sst>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[$-409]d/mmm/yy;@"/>
    <numFmt numFmtId="165" formatCode="_(* #,##0_);_(* \(#,##0\);_(* &quot;-&quot;??_);_(@_)"/>
    <numFmt numFmtId="166" formatCode="_-* #,##0.00_-;\-* #,##0.00_-;_-* &quot;-&quot;??_-;_-@_-"/>
    <numFmt numFmtId="167" formatCode="_-* #,##0_-;\-* #,##0_-;_-* &quot;-&quot;??_-;_-@_-"/>
  </numFmts>
  <fonts count="20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2"/>
      <color theme="1"/>
      <name val="Calibri"/>
      <family val="2"/>
      <charset val="129"/>
      <scheme val="minor"/>
    </font>
    <font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b/>
      <sz val="16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</font>
    <font>
      <b/>
      <sz val="10"/>
      <color theme="0" tint="-4.9989318521683403E-2"/>
      <name val="Calibri"/>
      <family val="2"/>
    </font>
    <font>
      <b/>
      <sz val="8"/>
      <color theme="0" tint="-4.9989318521683403E-2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EB9C"/>
        <b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9">
    <xf numFmtId="0" fontId="0" fillId="0" borderId="0"/>
    <xf numFmtId="166" fontId="3" fillId="0" borderId="0" applyFont="0" applyFill="0" applyBorder="0" applyAlignment="0" applyProtection="0"/>
    <xf numFmtId="0" fontId="1" fillId="0" borderId="0"/>
    <xf numFmtId="43" fontId="7" fillId="0" borderId="0"/>
    <xf numFmtId="166" fontId="1" fillId="0" borderId="0"/>
    <xf numFmtId="43" fontId="3" fillId="0" borderId="0"/>
    <xf numFmtId="43" fontId="1" fillId="0" borderId="0"/>
    <xf numFmtId="43" fontId="1" fillId="0" borderId="0" applyFont="0" applyFill="0" applyBorder="0" applyAlignment="0" applyProtection="0"/>
    <xf numFmtId="41" fontId="7" fillId="0" borderId="0"/>
  </cellStyleXfs>
  <cellXfs count="81">
    <xf numFmtId="0" fontId="0" fillId="0" borderId="0" xfId="0"/>
    <xf numFmtId="0" fontId="2" fillId="2" borderId="0" xfId="2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2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2" applyFont="1" applyAlignment="1">
      <alignment vertical="center"/>
    </xf>
    <xf numFmtId="164" fontId="6" fillId="0" borderId="0" xfId="2" applyNumberFormat="1" applyFont="1" applyAlignment="1">
      <alignment horizontal="right" vertical="center"/>
    </xf>
    <xf numFmtId="0" fontId="4" fillId="3" borderId="0" xfId="2" applyFont="1" applyFill="1" applyAlignment="1">
      <alignment vertical="center"/>
    </xf>
    <xf numFmtId="0" fontId="5" fillId="3" borderId="0" xfId="2" applyFont="1" applyFill="1" applyAlignment="1">
      <alignment vertical="center"/>
    </xf>
    <xf numFmtId="165" fontId="6" fillId="4" borderId="1" xfId="3" applyNumberFormat="1" applyFont="1" applyFill="1" applyBorder="1" applyAlignment="1">
      <alignment horizontal="center" vertical="center"/>
    </xf>
    <xf numFmtId="0" fontId="8" fillId="0" borderId="0" xfId="2" applyFont="1" applyAlignment="1">
      <alignment vertical="center"/>
    </xf>
    <xf numFmtId="0" fontId="6" fillId="5" borderId="2" xfId="2" applyFont="1" applyFill="1" applyBorder="1" applyAlignment="1">
      <alignment vertical="center"/>
    </xf>
    <xf numFmtId="0" fontId="6" fillId="5" borderId="3" xfId="2" applyFont="1" applyFill="1" applyBorder="1" applyAlignment="1">
      <alignment vertical="center"/>
    </xf>
    <xf numFmtId="0" fontId="0" fillId="5" borderId="4" xfId="0" applyFill="1" applyBorder="1"/>
    <xf numFmtId="0" fontId="0" fillId="5" borderId="3" xfId="0" applyFill="1" applyBorder="1"/>
    <xf numFmtId="0" fontId="6" fillId="0" borderId="0" xfId="2" applyFont="1" applyAlignment="1">
      <alignment vertical="center"/>
    </xf>
    <xf numFmtId="167" fontId="6" fillId="0" borderId="0" xfId="4" applyNumberFormat="1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5" xfId="2" applyFont="1" applyBorder="1" applyAlignment="1">
      <alignment horizontal="center" vertical="center"/>
    </xf>
    <xf numFmtId="0" fontId="9" fillId="0" borderId="5" xfId="2" applyFont="1" applyBorder="1" applyAlignment="1">
      <alignment vertical="center"/>
    </xf>
    <xf numFmtId="165" fontId="9" fillId="0" borderId="5" xfId="3" applyNumberFormat="1" applyFont="1" applyBorder="1" applyAlignment="1">
      <alignment vertical="center"/>
    </xf>
    <xf numFmtId="165" fontId="9" fillId="0" borderId="5" xfId="3" applyNumberFormat="1" applyFont="1" applyBorder="1" applyAlignment="1">
      <alignment horizontal="center" vertical="center"/>
    </xf>
    <xf numFmtId="167" fontId="10" fillId="0" borderId="0" xfId="4" applyNumberFormat="1" applyFont="1" applyAlignment="1">
      <alignment vertical="center"/>
    </xf>
    <xf numFmtId="0" fontId="11" fillId="0" borderId="0" xfId="0" applyFont="1" applyAlignment="1">
      <alignment vertical="center"/>
    </xf>
    <xf numFmtId="165" fontId="12" fillId="0" borderId="5" xfId="5" applyNumberFormat="1" applyFont="1" applyBorder="1" applyAlignment="1">
      <alignment vertical="center"/>
    </xf>
    <xf numFmtId="0" fontId="4" fillId="0" borderId="0" xfId="2" applyFont="1" applyAlignment="1">
      <alignment vertical="center"/>
    </xf>
    <xf numFmtId="167" fontId="13" fillId="0" borderId="1" xfId="4" applyNumberFormat="1" applyFont="1" applyBorder="1" applyAlignment="1">
      <alignment vertical="center"/>
    </xf>
    <xf numFmtId="165" fontId="14" fillId="0" borderId="0" xfId="5" applyNumberFormat="1" applyFont="1" applyAlignment="1">
      <alignment vertical="center"/>
    </xf>
    <xf numFmtId="167" fontId="13" fillId="0" borderId="0" xfId="4" applyNumberFormat="1" applyFont="1" applyAlignment="1">
      <alignment vertical="center"/>
    </xf>
    <xf numFmtId="0" fontId="4" fillId="6" borderId="0" xfId="2" applyFont="1" applyFill="1" applyAlignment="1">
      <alignment vertical="center"/>
    </xf>
    <xf numFmtId="0" fontId="5" fillId="6" borderId="0" xfId="2" applyFont="1" applyFill="1" applyAlignment="1">
      <alignment vertical="center"/>
    </xf>
    <xf numFmtId="167" fontId="6" fillId="6" borderId="0" xfId="4" applyNumberFormat="1" applyFont="1" applyFill="1" applyAlignment="1">
      <alignment vertical="center"/>
    </xf>
    <xf numFmtId="0" fontId="6" fillId="5" borderId="5" xfId="2" applyFont="1" applyFill="1" applyBorder="1" applyAlignment="1">
      <alignment horizontal="center" vertical="center"/>
    </xf>
    <xf numFmtId="17" fontId="6" fillId="5" borderId="5" xfId="2" applyNumberFormat="1" applyFont="1" applyFill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167" fontId="6" fillId="5" borderId="0" xfId="4" applyNumberFormat="1" applyFont="1" applyFill="1" applyAlignment="1">
      <alignment vertical="center"/>
    </xf>
    <xf numFmtId="0" fontId="15" fillId="7" borderId="5" xfId="2" applyFont="1" applyFill="1" applyBorder="1" applyAlignment="1">
      <alignment horizontal="center" vertical="center"/>
    </xf>
    <xf numFmtId="49" fontId="15" fillId="7" borderId="5" xfId="2" applyNumberFormat="1" applyFont="1" applyFill="1" applyBorder="1" applyAlignment="1">
      <alignment vertical="center"/>
    </xf>
    <xf numFmtId="165" fontId="15" fillId="7" borderId="5" xfId="3" applyNumberFormat="1" applyFont="1" applyFill="1" applyBorder="1" applyAlignment="1">
      <alignment horizontal="center" vertical="center"/>
    </xf>
    <xf numFmtId="165" fontId="15" fillId="0" borderId="5" xfId="3" applyNumberFormat="1" applyFont="1" applyBorder="1" applyAlignment="1">
      <alignment horizontal="center" vertical="center"/>
    </xf>
    <xf numFmtId="167" fontId="5" fillId="0" borderId="0" xfId="4" applyNumberFormat="1" applyFont="1" applyAlignment="1">
      <alignment vertical="center"/>
    </xf>
    <xf numFmtId="165" fontId="15" fillId="0" borderId="5" xfId="6" applyNumberFormat="1" applyFont="1" applyBorder="1" applyAlignment="1">
      <alignment horizontal="center" vertical="center"/>
    </xf>
    <xf numFmtId="49" fontId="15" fillId="7" borderId="5" xfId="2" applyNumberFormat="1" applyFont="1" applyFill="1" applyBorder="1" applyAlignment="1">
      <alignment vertical="center" wrapText="1"/>
    </xf>
    <xf numFmtId="165" fontId="15" fillId="7" borderId="5" xfId="6" applyNumberFormat="1" applyFont="1" applyFill="1" applyBorder="1" applyAlignment="1">
      <alignment horizontal="center" vertical="center"/>
    </xf>
    <xf numFmtId="0" fontId="6" fillId="8" borderId="6" xfId="2" applyFont="1" applyFill="1" applyBorder="1" applyAlignment="1">
      <alignment vertical="center"/>
    </xf>
    <xf numFmtId="167" fontId="6" fillId="8" borderId="6" xfId="2" applyNumberFormat="1" applyFont="1" applyFill="1" applyBorder="1" applyAlignment="1">
      <alignment vertical="center"/>
    </xf>
    <xf numFmtId="0" fontId="6" fillId="5" borderId="7" xfId="2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6" fillId="5" borderId="7" xfId="2" applyFont="1" applyFill="1" applyBorder="1" applyAlignment="1">
      <alignment horizontal="left" vertical="center"/>
    </xf>
    <xf numFmtId="167" fontId="5" fillId="0" borderId="5" xfId="4" applyNumberFormat="1" applyFont="1" applyBorder="1" applyAlignment="1">
      <alignment vertical="center"/>
    </xf>
    <xf numFmtId="165" fontId="5" fillId="0" borderId="5" xfId="3" applyNumberFormat="1" applyFont="1" applyBorder="1" applyAlignment="1">
      <alignment horizontal="center" vertical="center"/>
    </xf>
    <xf numFmtId="167" fontId="15" fillId="7" borderId="5" xfId="7" applyNumberFormat="1" applyFont="1" applyFill="1" applyBorder="1" applyAlignment="1">
      <alignment horizontal="center" vertical="center"/>
    </xf>
    <xf numFmtId="165" fontId="15" fillId="7" borderId="0" xfId="6" applyNumberFormat="1" applyFont="1" applyFill="1" applyAlignment="1">
      <alignment horizontal="center" vertical="center"/>
    </xf>
    <xf numFmtId="49" fontId="15" fillId="0" borderId="5" xfId="2" applyNumberFormat="1" applyFont="1" applyBorder="1" applyAlignment="1">
      <alignment vertical="center"/>
    </xf>
    <xf numFmtId="41" fontId="15" fillId="0" borderId="5" xfId="8" applyFont="1" applyBorder="1" applyAlignment="1">
      <alignment horizontal="center" vertical="center"/>
    </xf>
    <xf numFmtId="41" fontId="15" fillId="0" borderId="5" xfId="8" applyFont="1" applyBorder="1" applyAlignment="1">
      <alignment vertical="center"/>
    </xf>
    <xf numFmtId="0" fontId="6" fillId="0" borderId="5" xfId="2" applyFont="1" applyBorder="1" applyAlignment="1">
      <alignment horizontal="left" vertical="center"/>
    </xf>
    <xf numFmtId="0" fontId="6" fillId="0" borderId="7" xfId="2" applyFont="1" applyBorder="1" applyAlignment="1">
      <alignment horizontal="left" vertical="center"/>
    </xf>
    <xf numFmtId="0" fontId="5" fillId="0" borderId="5" xfId="2" applyFont="1" applyBorder="1" applyAlignment="1">
      <alignment vertical="center"/>
    </xf>
    <xf numFmtId="41" fontId="5" fillId="0" borderId="5" xfId="8" applyFont="1" applyBorder="1" applyAlignment="1">
      <alignment vertical="center"/>
    </xf>
    <xf numFmtId="0" fontId="15" fillId="0" borderId="5" xfId="2" applyFont="1" applyBorder="1" applyAlignment="1">
      <alignment vertical="center" wrapText="1"/>
    </xf>
    <xf numFmtId="49" fontId="15" fillId="0" borderId="0" xfId="2" applyNumberFormat="1" applyFont="1" applyAlignment="1">
      <alignment vertical="center"/>
    </xf>
    <xf numFmtId="167" fontId="15" fillId="0" borderId="0" xfId="4" applyNumberFormat="1" applyFont="1" applyAlignment="1">
      <alignment vertical="center"/>
    </xf>
    <xf numFmtId="167" fontId="6" fillId="0" borderId="4" xfId="4" applyNumberFormat="1" applyFont="1" applyBorder="1" applyAlignment="1">
      <alignment vertical="center"/>
    </xf>
    <xf numFmtId="0" fontId="16" fillId="9" borderId="4" xfId="2" applyFont="1" applyFill="1" applyBorder="1" applyAlignment="1">
      <alignment vertical="center"/>
    </xf>
    <xf numFmtId="49" fontId="15" fillId="9" borderId="4" xfId="2" applyNumberFormat="1" applyFont="1" applyFill="1" applyBorder="1" applyAlignment="1">
      <alignment vertical="center"/>
    </xf>
    <xf numFmtId="167" fontId="17" fillId="9" borderId="4" xfId="4" applyNumberFormat="1" applyFont="1" applyFill="1" applyBorder="1" applyAlignment="1">
      <alignment vertical="center"/>
    </xf>
    <xf numFmtId="0" fontId="6" fillId="0" borderId="0" xfId="2" applyFont="1" applyAlignment="1">
      <alignment horizontal="right" vertical="center"/>
    </xf>
    <xf numFmtId="0" fontId="6" fillId="0" borderId="0" xfId="2" applyFont="1" applyAlignment="1">
      <alignment horizontal="right" vertical="center"/>
    </xf>
    <xf numFmtId="167" fontId="6" fillId="0" borderId="0" xfId="2" applyNumberFormat="1" applyFont="1" applyAlignment="1">
      <alignment vertical="center"/>
    </xf>
    <xf numFmtId="0" fontId="6" fillId="3" borderId="8" xfId="2" applyFont="1" applyFill="1" applyBorder="1" applyAlignment="1">
      <alignment vertical="center"/>
    </xf>
    <xf numFmtId="0" fontId="5" fillId="3" borderId="8" xfId="2" applyFont="1" applyFill="1" applyBorder="1" applyAlignment="1">
      <alignment vertical="center"/>
    </xf>
    <xf numFmtId="165" fontId="6" fillId="3" borderId="8" xfId="2" applyNumberFormat="1" applyFont="1" applyFill="1" applyBorder="1" applyAlignment="1">
      <alignment vertical="center"/>
    </xf>
    <xf numFmtId="37" fontId="13" fillId="3" borderId="9" xfId="4" applyNumberFormat="1" applyFont="1" applyFill="1" applyBorder="1" applyAlignment="1">
      <alignment vertical="center"/>
    </xf>
    <xf numFmtId="167" fontId="0" fillId="0" borderId="0" xfId="1" applyNumberFormat="1" applyFont="1" applyAlignment="1">
      <alignment vertical="center"/>
    </xf>
    <xf numFmtId="0" fontId="0" fillId="0" borderId="0" xfId="0" applyAlignment="1">
      <alignment horizontal="right" vertical="center"/>
    </xf>
    <xf numFmtId="43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18" fillId="0" borderId="0" xfId="0" applyFont="1" applyAlignment="1">
      <alignment vertical="center"/>
    </xf>
    <xf numFmtId="165" fontId="19" fillId="0" borderId="0" xfId="0" applyNumberFormat="1" applyFont="1" applyAlignment="1">
      <alignment vertical="center"/>
    </xf>
  </cellXfs>
  <cellStyles count="9">
    <cellStyle name="Comma" xfId="1" builtinId="3"/>
    <cellStyle name="Comma [0] 3 2" xfId="8" xr:uid="{84EFEB5C-A278-4DED-A74E-E2166E33CA62}"/>
    <cellStyle name="Comma 14 2" xfId="5" xr:uid="{545601B7-6354-4B6F-BD40-FA9E69060D61}"/>
    <cellStyle name="Comma 2 3" xfId="7" xr:uid="{322CC5D0-4ECC-4A73-8273-8A086ECB6E21}"/>
    <cellStyle name="Comma 3 2 2" xfId="4" xr:uid="{1E853A6C-B81B-4F2B-B701-8909BB87D7D7}"/>
    <cellStyle name="Comma 5 2" xfId="3" xr:uid="{62BF2E1B-53BC-4C49-B10D-784BF2F19034}"/>
    <cellStyle name="Comma 5 2 2" xfId="6" xr:uid="{EAA258BF-A22F-48DA-A9A2-0FE2552B9E85}"/>
    <cellStyle name="Normal" xfId="0" builtinId="0"/>
    <cellStyle name="Normal 2 2" xfId="2" xr:uid="{18A53F8F-5612-4F23-8037-73E12AE58E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Cash%20Flow%20and%20Account%20Receivable%20Report%20(8th%20Apr).xlsx" TargetMode="External"/><Relationship Id="rId2" Type="http://schemas.openxmlformats.org/officeDocument/2006/relationships/externalLinkPath" Target="file:///C:\Users\HP\Downloads\Cash%20Flow%20and%20Account%20Receivable%20Report%20(8th%20Apr).xlsx" TargetMode="External"/><Relationship Id="rId1" Type="http://schemas.openxmlformats.org/officeDocument/2006/relationships/externalLinkPath" Target="/Users/HP/Downloads/Cash%20Flow%20and%20Account%20Receivable%20Report%20(8th%20Apr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sh Flow"/>
      <sheetName val="Projected Cash Flow"/>
      <sheetName val="Current Receivables Details"/>
      <sheetName val="Account Payable Report 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9C70-EBD7-4D07-BC07-BFB9421A47E9}">
  <sheetPr>
    <tabColor theme="8" tint="-0.249977111117893"/>
  </sheetPr>
  <dimension ref="A1:R89"/>
  <sheetViews>
    <sheetView tabSelected="1" zoomScale="80" zoomScaleNormal="80" workbookViewId="0">
      <pane xSplit="3" ySplit="8" topLeftCell="D9" activePane="bottomRight" state="frozen"/>
      <selection pane="topRight" activeCell="E1" sqref="E1"/>
      <selection pane="bottomLeft" activeCell="A9" sqref="A9"/>
      <selection pane="bottomRight" activeCell="Q4" sqref="Q4"/>
    </sheetView>
  </sheetViews>
  <sheetFormatPr defaultColWidth="11" defaultRowHeight="15.5"/>
  <cols>
    <col min="1" max="1" width="3" style="3" customWidth="1"/>
    <col min="2" max="2" width="5.25" style="3" customWidth="1"/>
    <col min="3" max="3" width="43.83203125" style="3" customWidth="1"/>
    <col min="4" max="5" width="11" style="3" customWidth="1"/>
    <col min="6" max="6" width="11.6640625" style="3" bestFit="1" customWidth="1"/>
    <col min="7" max="10" width="11" style="3" customWidth="1"/>
    <col min="11" max="11" width="11" style="3" bestFit="1" customWidth="1"/>
    <col min="12" max="14" width="11" style="3" customWidth="1"/>
    <col min="15" max="15" width="11" style="3" bestFit="1" customWidth="1"/>
    <col min="16" max="16" width="1.83203125" style="3" customWidth="1"/>
    <col min="17" max="17" width="20.33203125" style="3" customWidth="1"/>
    <col min="18" max="18" width="13.5" style="3" bestFit="1" customWidth="1"/>
    <col min="19" max="16384" width="11" style="3"/>
  </cols>
  <sheetData>
    <row r="1" spans="1:17" ht="2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6" customHeight="1" thickBo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>
        <v>46120</v>
      </c>
    </row>
    <row r="4" spans="1:17" ht="16" thickBot="1">
      <c r="A4" s="8" t="s">
        <v>2</v>
      </c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0">
        <f>SUM(O6:O8)</f>
        <v>-14401403.684999999</v>
      </c>
    </row>
    <row r="5" spans="1:17">
      <c r="A5" s="11"/>
      <c r="B5" s="12" t="s">
        <v>3</v>
      </c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  <c r="P5" s="16"/>
      <c r="Q5" s="17"/>
    </row>
    <row r="6" spans="1:17" s="24" customFormat="1" ht="12">
      <c r="A6" s="18"/>
      <c r="B6" s="19">
        <v>1</v>
      </c>
      <c r="C6" s="20" t="s">
        <v>4</v>
      </c>
      <c r="D6" s="20"/>
      <c r="E6" s="20"/>
      <c r="F6" s="20"/>
      <c r="G6" s="20"/>
      <c r="H6" s="20"/>
      <c r="I6" s="20"/>
      <c r="J6" s="20"/>
      <c r="K6" s="21"/>
      <c r="L6" s="21"/>
      <c r="M6" s="21"/>
      <c r="N6" s="21"/>
      <c r="O6" s="22">
        <v>5264.7299999999814</v>
      </c>
      <c r="P6" s="18"/>
      <c r="Q6" s="23"/>
    </row>
    <row r="7" spans="1:17" s="24" customFormat="1" ht="16" customHeight="1">
      <c r="A7" s="18"/>
      <c r="B7" s="19">
        <v>2</v>
      </c>
      <c r="C7" s="20" t="s">
        <v>5</v>
      </c>
      <c r="D7" s="20"/>
      <c r="E7" s="20"/>
      <c r="F7" s="20"/>
      <c r="G7" s="20"/>
      <c r="H7" s="20"/>
      <c r="I7" s="20"/>
      <c r="J7" s="20"/>
      <c r="K7" s="22"/>
      <c r="L7" s="22"/>
      <c r="M7" s="22"/>
      <c r="N7" s="22"/>
      <c r="O7" s="22">
        <v>2259.9250000005541</v>
      </c>
      <c r="P7" s="18"/>
      <c r="Q7" s="23"/>
    </row>
    <row r="8" spans="1:17" s="24" customFormat="1" ht="16" customHeight="1" thickBot="1">
      <c r="A8" s="18"/>
      <c r="B8" s="19">
        <v>3</v>
      </c>
      <c r="C8" s="20" t="s">
        <v>6</v>
      </c>
      <c r="D8" s="20"/>
      <c r="E8" s="20"/>
      <c r="F8" s="20"/>
      <c r="G8" s="20"/>
      <c r="H8" s="20"/>
      <c r="I8" s="20"/>
      <c r="J8" s="20"/>
      <c r="K8" s="22"/>
      <c r="L8" s="22"/>
      <c r="M8" s="22"/>
      <c r="N8" s="22"/>
      <c r="O8" s="25">
        <v>-14408928.34</v>
      </c>
      <c r="P8" s="18"/>
      <c r="Q8" s="23"/>
    </row>
    <row r="9" spans="1:17" ht="21.5" customHeight="1" thickBot="1">
      <c r="A9" s="2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27">
        <f>SUM(D13:O36)</f>
        <v>148620704.24000001</v>
      </c>
    </row>
    <row r="10" spans="1:17" ht="21" customHeight="1">
      <c r="A10" s="26"/>
      <c r="B10" s="16" t="s">
        <v>7</v>
      </c>
      <c r="C10" s="6"/>
      <c r="D10" s="28">
        <f>Q4</f>
        <v>-14401403.684999999</v>
      </c>
      <c r="E10" s="28">
        <f t="shared" ref="E10:O10" si="0">D83</f>
        <v>-8143232.3850000016</v>
      </c>
      <c r="F10" s="28">
        <f t="shared" si="0"/>
        <v>-16525293.525</v>
      </c>
      <c r="G10" s="28">
        <f t="shared" si="0"/>
        <v>-18720364.954999998</v>
      </c>
      <c r="H10" s="28">
        <f t="shared" si="0"/>
        <v>-7907941.804999996</v>
      </c>
      <c r="I10" s="28">
        <f t="shared" si="0"/>
        <v>-9116198.5949999969</v>
      </c>
      <c r="J10" s="28">
        <f t="shared" si="0"/>
        <v>-7202983.3849999979</v>
      </c>
      <c r="K10" s="28">
        <f t="shared" si="0"/>
        <v>-5465792.4749999978</v>
      </c>
      <c r="L10" s="28">
        <f t="shared" si="0"/>
        <v>778136.33500000276</v>
      </c>
      <c r="M10" s="28">
        <f t="shared" si="0"/>
        <v>80125.245000002906</v>
      </c>
      <c r="N10" s="28">
        <f t="shared" si="0"/>
        <v>-8198820.6949999966</v>
      </c>
      <c r="O10" s="28">
        <f t="shared" si="0"/>
        <v>-9174257.0349999964</v>
      </c>
      <c r="P10" s="6"/>
      <c r="Q10" s="29"/>
    </row>
    <row r="11" spans="1:17">
      <c r="A11" s="30" t="s">
        <v>8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2"/>
    </row>
    <row r="12" spans="1:17">
      <c r="A12" s="11"/>
      <c r="B12" s="33" t="s">
        <v>9</v>
      </c>
      <c r="C12" s="33" t="s">
        <v>10</v>
      </c>
      <c r="D12" s="34">
        <v>46113</v>
      </c>
      <c r="E12" s="34">
        <v>46143</v>
      </c>
      <c r="F12" s="34">
        <v>46174</v>
      </c>
      <c r="G12" s="34">
        <v>46204</v>
      </c>
      <c r="H12" s="34">
        <v>46235</v>
      </c>
      <c r="I12" s="34">
        <v>46266</v>
      </c>
      <c r="J12" s="34">
        <v>46296</v>
      </c>
      <c r="K12" s="34">
        <v>46327</v>
      </c>
      <c r="L12" s="34">
        <v>46357</v>
      </c>
      <c r="M12" s="34">
        <v>46388</v>
      </c>
      <c r="N12" s="34">
        <v>46419</v>
      </c>
      <c r="O12" s="34">
        <v>46447</v>
      </c>
      <c r="P12" s="35"/>
      <c r="Q12" s="36" t="s">
        <v>11</v>
      </c>
    </row>
    <row r="13" spans="1:17">
      <c r="A13" s="11"/>
      <c r="B13" s="37">
        <v>1</v>
      </c>
      <c r="C13" s="38" t="s">
        <v>12</v>
      </c>
      <c r="D13" s="39">
        <v>860193</v>
      </c>
      <c r="E13" s="39">
        <f>198900</f>
        <v>198900</v>
      </c>
      <c r="F13" s="39">
        <v>0</v>
      </c>
      <c r="G13" s="39">
        <f>1698828</f>
        <v>1698828</v>
      </c>
      <c r="H13" s="39" t="s">
        <v>13</v>
      </c>
      <c r="I13" s="40" t="s">
        <v>13</v>
      </c>
      <c r="J13" s="40" t="s">
        <v>13</v>
      </c>
      <c r="K13" s="40" t="s">
        <v>13</v>
      </c>
      <c r="L13" s="40" t="s">
        <v>13</v>
      </c>
      <c r="M13" s="40" t="s">
        <v>13</v>
      </c>
      <c r="N13" s="40" t="s">
        <v>13</v>
      </c>
      <c r="O13" s="40" t="s">
        <v>13</v>
      </c>
      <c r="P13" s="6"/>
      <c r="Q13" s="41" t="s">
        <v>14</v>
      </c>
    </row>
    <row r="14" spans="1:17">
      <c r="A14" s="11"/>
      <c r="B14" s="37">
        <f t="shared" ref="B14:B36" si="1">B13+1</f>
        <v>2</v>
      </c>
      <c r="C14" s="38" t="s">
        <v>15</v>
      </c>
      <c r="D14" s="39">
        <v>825000</v>
      </c>
      <c r="E14" s="39">
        <v>0</v>
      </c>
      <c r="F14" s="39">
        <v>825000</v>
      </c>
      <c r="G14" s="39">
        <v>0</v>
      </c>
      <c r="H14" s="42" t="s">
        <v>13</v>
      </c>
      <c r="I14" s="42" t="s">
        <v>13</v>
      </c>
      <c r="J14" s="42" t="s">
        <v>13</v>
      </c>
      <c r="K14" s="42" t="s">
        <v>13</v>
      </c>
      <c r="L14" s="42" t="s">
        <v>13</v>
      </c>
      <c r="M14" s="42" t="s">
        <v>13</v>
      </c>
      <c r="N14" s="42" t="s">
        <v>13</v>
      </c>
      <c r="O14" s="42" t="s">
        <v>13</v>
      </c>
      <c r="P14" s="6"/>
      <c r="Q14" s="41" t="s">
        <v>14</v>
      </c>
    </row>
    <row r="15" spans="1:17">
      <c r="A15" s="11"/>
      <c r="B15" s="37">
        <f t="shared" si="1"/>
        <v>3</v>
      </c>
      <c r="C15" s="38" t="s">
        <v>16</v>
      </c>
      <c r="D15" s="39">
        <v>0</v>
      </c>
      <c r="E15" s="39">
        <v>0</v>
      </c>
      <c r="F15" s="39">
        <v>825000</v>
      </c>
      <c r="G15" s="39">
        <v>0</v>
      </c>
      <c r="H15" s="40" t="s">
        <v>13</v>
      </c>
      <c r="I15" s="40" t="s">
        <v>13</v>
      </c>
      <c r="J15" s="40" t="s">
        <v>13</v>
      </c>
      <c r="K15" s="40" t="s">
        <v>13</v>
      </c>
      <c r="L15" s="40" t="s">
        <v>13</v>
      </c>
      <c r="M15" s="40" t="s">
        <v>13</v>
      </c>
      <c r="N15" s="40" t="s">
        <v>13</v>
      </c>
      <c r="O15" s="40" t="s">
        <v>13</v>
      </c>
      <c r="P15" s="6"/>
      <c r="Q15" s="41" t="s">
        <v>14</v>
      </c>
    </row>
    <row r="16" spans="1:17">
      <c r="A16" s="11"/>
      <c r="B16" s="37">
        <f t="shared" si="1"/>
        <v>4</v>
      </c>
      <c r="C16" s="38" t="s">
        <v>17</v>
      </c>
      <c r="D16" s="39">
        <f>1013918+1520877</f>
        <v>2534795</v>
      </c>
      <c r="E16" s="39">
        <v>0</v>
      </c>
      <c r="F16" s="39">
        <v>0</v>
      </c>
      <c r="G16" s="39">
        <v>0</v>
      </c>
      <c r="H16" s="39" t="s">
        <v>13</v>
      </c>
      <c r="I16" s="39" t="s">
        <v>13</v>
      </c>
      <c r="J16" s="40" t="s">
        <v>13</v>
      </c>
      <c r="K16" s="40" t="s">
        <v>13</v>
      </c>
      <c r="L16" s="40" t="s">
        <v>13</v>
      </c>
      <c r="M16" s="40" t="s">
        <v>13</v>
      </c>
      <c r="N16" s="40" t="s">
        <v>13</v>
      </c>
      <c r="O16" s="40" t="s">
        <v>13</v>
      </c>
      <c r="P16" s="6"/>
      <c r="Q16" s="41" t="s">
        <v>14</v>
      </c>
    </row>
    <row r="17" spans="1:17">
      <c r="A17" s="11"/>
      <c r="B17" s="37">
        <f t="shared" si="1"/>
        <v>5</v>
      </c>
      <c r="C17" s="38" t="s">
        <v>18</v>
      </c>
      <c r="D17" s="39">
        <v>0</v>
      </c>
      <c r="E17" s="39">
        <f>1346387+1346387</f>
        <v>2692774</v>
      </c>
      <c r="F17" s="39">
        <f>1154046+1923410</f>
        <v>3077456</v>
      </c>
      <c r="G17" s="40">
        <v>0</v>
      </c>
      <c r="H17" s="40" t="s">
        <v>13</v>
      </c>
      <c r="I17" s="40" t="s">
        <v>13</v>
      </c>
      <c r="J17" s="40" t="s">
        <v>13</v>
      </c>
      <c r="K17" s="40" t="s">
        <v>13</v>
      </c>
      <c r="L17" s="40" t="s">
        <v>13</v>
      </c>
      <c r="M17" s="40" t="s">
        <v>13</v>
      </c>
      <c r="N17" s="40" t="s">
        <v>13</v>
      </c>
      <c r="O17" s="40" t="s">
        <v>13</v>
      </c>
      <c r="P17" s="6"/>
      <c r="Q17" s="41" t="s">
        <v>14</v>
      </c>
    </row>
    <row r="18" spans="1:17">
      <c r="A18" s="11"/>
      <c r="B18" s="37">
        <f t="shared" si="1"/>
        <v>6</v>
      </c>
      <c r="C18" s="38" t="s">
        <v>19</v>
      </c>
      <c r="D18" s="39">
        <v>312000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6"/>
      <c r="Q18" s="41"/>
    </row>
    <row r="19" spans="1:17">
      <c r="A19" s="11"/>
      <c r="B19" s="37">
        <f t="shared" si="1"/>
        <v>7</v>
      </c>
      <c r="C19" s="38" t="s">
        <v>20</v>
      </c>
      <c r="D19" s="39">
        <v>600000</v>
      </c>
      <c r="E19" s="39">
        <v>400000</v>
      </c>
      <c r="F19" s="39">
        <v>300000</v>
      </c>
      <c r="G19" s="39">
        <v>0</v>
      </c>
      <c r="H19" s="39">
        <v>300000</v>
      </c>
      <c r="I19" s="40">
        <v>400000</v>
      </c>
      <c r="J19" s="40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6"/>
      <c r="Q19" s="41"/>
    </row>
    <row r="20" spans="1:17">
      <c r="A20" s="11"/>
      <c r="B20" s="37">
        <f t="shared" si="1"/>
        <v>8</v>
      </c>
      <c r="C20" s="38" t="s">
        <v>21</v>
      </c>
      <c r="D20" s="40">
        <v>0</v>
      </c>
      <c r="E20" s="40">
        <v>149760</v>
      </c>
      <c r="F20" s="40">
        <v>0</v>
      </c>
      <c r="G20" s="40">
        <v>0</v>
      </c>
      <c r="H20" s="40" t="s">
        <v>13</v>
      </c>
      <c r="I20" s="40" t="s">
        <v>13</v>
      </c>
      <c r="J20" s="40" t="s">
        <v>13</v>
      </c>
      <c r="K20" s="40" t="s">
        <v>13</v>
      </c>
      <c r="L20" s="40" t="s">
        <v>13</v>
      </c>
      <c r="M20" s="40" t="s">
        <v>13</v>
      </c>
      <c r="N20" s="40" t="s">
        <v>13</v>
      </c>
      <c r="O20" s="40" t="s">
        <v>13</v>
      </c>
      <c r="P20" s="6"/>
      <c r="Q20" s="41" t="s">
        <v>14</v>
      </c>
    </row>
    <row r="21" spans="1:17">
      <c r="A21" s="11"/>
      <c r="B21" s="37">
        <f t="shared" si="1"/>
        <v>9</v>
      </c>
      <c r="C21" s="43" t="s">
        <v>22</v>
      </c>
      <c r="D21" s="44">
        <v>2288000</v>
      </c>
      <c r="E21" s="44">
        <v>0</v>
      </c>
      <c r="F21" s="42">
        <v>0</v>
      </c>
      <c r="G21" s="42">
        <v>10753596.24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6"/>
      <c r="Q21" s="41" t="s">
        <v>14</v>
      </c>
    </row>
    <row r="22" spans="1:17">
      <c r="A22" s="11"/>
      <c r="B22" s="37">
        <f t="shared" si="1"/>
        <v>10</v>
      </c>
      <c r="C22" s="38" t="s">
        <v>23</v>
      </c>
      <c r="D22" s="42">
        <v>0</v>
      </c>
      <c r="E22" s="42">
        <v>1517758</v>
      </c>
      <c r="F22" s="42">
        <v>0</v>
      </c>
      <c r="G22" s="42">
        <v>2069670</v>
      </c>
      <c r="H22" s="42">
        <v>0</v>
      </c>
      <c r="I22" s="42">
        <v>3311472</v>
      </c>
      <c r="J22" s="42">
        <v>0</v>
      </c>
      <c r="K22" s="42">
        <v>2759560</v>
      </c>
      <c r="L22" s="42">
        <v>0</v>
      </c>
      <c r="M22" s="42">
        <v>0</v>
      </c>
      <c r="N22" s="42">
        <v>0</v>
      </c>
      <c r="O22" s="42">
        <v>0</v>
      </c>
      <c r="P22" s="6"/>
      <c r="Q22" s="41" t="s">
        <v>14</v>
      </c>
    </row>
    <row r="23" spans="1:17">
      <c r="A23" s="11"/>
      <c r="B23" s="37">
        <f t="shared" si="1"/>
        <v>11</v>
      </c>
      <c r="C23" s="38" t="s">
        <v>24</v>
      </c>
      <c r="D23" s="44">
        <f>623217+3116085</f>
        <v>3739302</v>
      </c>
      <c r="E23" s="44">
        <v>0</v>
      </c>
      <c r="F23" s="44">
        <v>0</v>
      </c>
      <c r="G23" s="44">
        <v>0</v>
      </c>
      <c r="H23" s="44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6"/>
      <c r="Q23" s="41" t="s">
        <v>14</v>
      </c>
    </row>
    <row r="24" spans="1:17">
      <c r="A24" s="11"/>
      <c r="B24" s="37">
        <f t="shared" si="1"/>
        <v>12</v>
      </c>
      <c r="C24" s="38" t="s">
        <v>25</v>
      </c>
      <c r="D24" s="39">
        <v>0</v>
      </c>
      <c r="E24" s="39">
        <v>1698828</v>
      </c>
      <c r="F24" s="39">
        <v>4247110</v>
      </c>
      <c r="G24" s="39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6"/>
      <c r="Q24" s="41" t="s">
        <v>14</v>
      </c>
    </row>
    <row r="25" spans="1:17">
      <c r="A25" s="11"/>
      <c r="B25" s="37">
        <f t="shared" si="1"/>
        <v>13</v>
      </c>
      <c r="C25" s="38" t="s">
        <v>26</v>
      </c>
      <c r="D25" s="39">
        <v>0</v>
      </c>
      <c r="E25" s="39">
        <v>1350000</v>
      </c>
      <c r="F25" s="39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 s="6"/>
      <c r="Q25" s="41"/>
    </row>
    <row r="26" spans="1:17">
      <c r="A26" s="11"/>
      <c r="B26" s="37">
        <f t="shared" si="1"/>
        <v>14</v>
      </c>
      <c r="C26" s="38" t="s">
        <v>27</v>
      </c>
      <c r="D26" s="39">
        <v>0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40">
        <v>4834800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6"/>
      <c r="Q26" s="41" t="s">
        <v>14</v>
      </c>
    </row>
    <row r="27" spans="1:17">
      <c r="A27" s="11"/>
      <c r="B27" s="37">
        <f t="shared" si="1"/>
        <v>15</v>
      </c>
      <c r="C27" s="38" t="s">
        <v>28</v>
      </c>
      <c r="D27" s="40">
        <v>0</v>
      </c>
      <c r="E27" s="40">
        <v>0</v>
      </c>
      <c r="F27" s="40">
        <v>0</v>
      </c>
      <c r="G27" s="40">
        <v>2969600</v>
      </c>
      <c r="H27" s="40">
        <v>2969600</v>
      </c>
      <c r="I27" s="40">
        <v>2969600</v>
      </c>
      <c r="J27" s="40">
        <v>2969600</v>
      </c>
      <c r="K27" s="40">
        <v>2969600</v>
      </c>
      <c r="L27" s="40">
        <v>0</v>
      </c>
      <c r="M27" s="40">
        <v>0</v>
      </c>
      <c r="N27" s="40">
        <v>0</v>
      </c>
      <c r="O27" s="40">
        <f>14848000</f>
        <v>14848000</v>
      </c>
      <c r="P27" s="6"/>
      <c r="Q27" s="41" t="s">
        <v>14</v>
      </c>
    </row>
    <row r="28" spans="1:17" ht="15.5" customHeight="1">
      <c r="A28" s="11"/>
      <c r="B28" s="37">
        <f t="shared" si="1"/>
        <v>16</v>
      </c>
      <c r="C28" s="38" t="s">
        <v>29</v>
      </c>
      <c r="D28" s="40">
        <v>0</v>
      </c>
      <c r="E28" s="40">
        <v>0</v>
      </c>
      <c r="F28" s="40">
        <v>0</v>
      </c>
      <c r="G28" s="40">
        <v>1397800</v>
      </c>
      <c r="H28" s="40">
        <v>1397800</v>
      </c>
      <c r="I28" s="40">
        <v>1397800</v>
      </c>
      <c r="J28" s="40">
        <v>1397800</v>
      </c>
      <c r="K28" s="40">
        <v>1397800</v>
      </c>
      <c r="L28" s="40">
        <v>1397800</v>
      </c>
      <c r="M28" s="40">
        <v>0</v>
      </c>
      <c r="N28" s="40">
        <v>0</v>
      </c>
      <c r="O28" s="40">
        <v>8386800</v>
      </c>
      <c r="P28" s="6"/>
      <c r="Q28" s="41" t="s">
        <v>14</v>
      </c>
    </row>
    <row r="29" spans="1:17">
      <c r="A29" s="11"/>
      <c r="B29" s="37">
        <f t="shared" si="1"/>
        <v>17</v>
      </c>
      <c r="C29" s="38" t="s">
        <v>30</v>
      </c>
      <c r="D29" s="44">
        <v>918720</v>
      </c>
      <c r="E29" s="44">
        <v>0</v>
      </c>
      <c r="F29" s="44">
        <v>2143680</v>
      </c>
      <c r="G29" s="44">
        <v>2143680</v>
      </c>
      <c r="H29" s="44">
        <v>2143680</v>
      </c>
      <c r="I29" s="44">
        <v>2143680</v>
      </c>
      <c r="J29" s="44">
        <v>2143680</v>
      </c>
      <c r="K29" s="44">
        <v>3674880</v>
      </c>
      <c r="L29" s="44">
        <f>1837440+1224960</f>
        <v>3062400</v>
      </c>
      <c r="M29" s="44">
        <v>0</v>
      </c>
      <c r="N29" s="44">
        <v>0</v>
      </c>
      <c r="O29" s="44">
        <v>0</v>
      </c>
      <c r="P29" s="6"/>
      <c r="Q29" s="41" t="s">
        <v>14</v>
      </c>
    </row>
    <row r="30" spans="1:17" ht="15.5" customHeight="1">
      <c r="A30" s="11"/>
      <c r="B30" s="37">
        <f t="shared" si="1"/>
        <v>18</v>
      </c>
      <c r="C30" s="38" t="s">
        <v>31</v>
      </c>
      <c r="D30" s="44">
        <v>0</v>
      </c>
      <c r="E30" s="44">
        <v>0</v>
      </c>
      <c r="F30" s="44">
        <v>1148400</v>
      </c>
      <c r="G30" s="44">
        <v>1148400</v>
      </c>
      <c r="H30" s="44">
        <v>1148400</v>
      </c>
      <c r="I30" s="44">
        <v>1148400</v>
      </c>
      <c r="J30" s="44">
        <v>1148400</v>
      </c>
      <c r="K30" s="44">
        <v>1148400</v>
      </c>
      <c r="L30" s="44">
        <v>0</v>
      </c>
      <c r="M30" s="44">
        <v>0</v>
      </c>
      <c r="N30" s="44">
        <v>0</v>
      </c>
      <c r="O30" s="44">
        <v>0</v>
      </c>
      <c r="P30" s="6"/>
      <c r="Q30" s="41" t="s">
        <v>14</v>
      </c>
    </row>
    <row r="31" spans="1:17" ht="15.5" customHeight="1">
      <c r="A31" s="11"/>
      <c r="B31" s="37">
        <f t="shared" si="1"/>
        <v>19</v>
      </c>
      <c r="C31" s="38" t="s">
        <v>32</v>
      </c>
      <c r="D31" s="42">
        <v>0</v>
      </c>
      <c r="E31" s="42">
        <v>25000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6"/>
      <c r="Q31" s="41" t="s">
        <v>14</v>
      </c>
    </row>
    <row r="32" spans="1:17" ht="15.5" customHeight="1">
      <c r="A32" s="11"/>
      <c r="B32" s="37">
        <f t="shared" si="1"/>
        <v>20</v>
      </c>
      <c r="C32" s="38" t="s">
        <v>33</v>
      </c>
      <c r="D32" s="42">
        <v>1874686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6"/>
      <c r="Q32" s="41"/>
    </row>
    <row r="33" spans="1:17" ht="15.5" customHeight="1">
      <c r="A33" s="11"/>
      <c r="B33" s="37">
        <f t="shared" si="1"/>
        <v>21</v>
      </c>
      <c r="C33" s="38" t="s">
        <v>34</v>
      </c>
      <c r="D33" s="40">
        <v>208448.1</v>
      </c>
      <c r="E33" s="40">
        <v>312672.14999999997</v>
      </c>
      <c r="F33" s="40">
        <v>1563360.75</v>
      </c>
      <c r="G33" s="40">
        <v>0</v>
      </c>
      <c r="H33" s="40">
        <v>1563360.75</v>
      </c>
      <c r="I33" s="40">
        <v>1563360.75</v>
      </c>
      <c r="J33" s="40">
        <v>0</v>
      </c>
      <c r="K33" s="40">
        <v>1563360.75</v>
      </c>
      <c r="L33" s="39">
        <v>0</v>
      </c>
      <c r="M33" s="40">
        <v>0</v>
      </c>
      <c r="N33" s="40">
        <v>1563360.75</v>
      </c>
      <c r="O33" s="40">
        <v>0</v>
      </c>
      <c r="P33" s="6"/>
      <c r="Q33" s="41"/>
    </row>
    <row r="34" spans="1:17" ht="15.5" customHeight="1">
      <c r="A34" s="11"/>
      <c r="B34" s="37">
        <f t="shared" si="1"/>
        <v>22</v>
      </c>
      <c r="C34" s="38" t="s">
        <v>35</v>
      </c>
      <c r="D34" s="40">
        <v>349255.2</v>
      </c>
      <c r="E34" s="40">
        <v>523882.8</v>
      </c>
      <c r="F34" s="40">
        <v>2619414</v>
      </c>
      <c r="G34" s="39">
        <v>0</v>
      </c>
      <c r="H34" s="39">
        <v>0</v>
      </c>
      <c r="I34" s="39">
        <v>0</v>
      </c>
      <c r="J34" s="40">
        <v>0</v>
      </c>
      <c r="K34" s="40">
        <v>2619414</v>
      </c>
      <c r="L34" s="40"/>
      <c r="M34" s="40">
        <v>0</v>
      </c>
      <c r="N34" s="40">
        <v>2619414</v>
      </c>
      <c r="O34" s="40">
        <v>0</v>
      </c>
      <c r="P34" s="6"/>
      <c r="Q34" s="41"/>
    </row>
    <row r="35" spans="1:17" ht="15.5" customHeight="1">
      <c r="A35" s="11"/>
      <c r="B35" s="37">
        <f t="shared" si="1"/>
        <v>23</v>
      </c>
      <c r="C35" s="38" t="s">
        <v>36</v>
      </c>
      <c r="D35" s="40">
        <f>1362750</f>
        <v>1362750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6"/>
      <c r="Q35" s="41"/>
    </row>
    <row r="36" spans="1:17" ht="15.5" customHeight="1">
      <c r="A36" s="11"/>
      <c r="B36" s="37">
        <f t="shared" si="1"/>
        <v>24</v>
      </c>
      <c r="C36" s="38" t="s">
        <v>37</v>
      </c>
      <c r="D36" s="42">
        <v>1984762</v>
      </c>
      <c r="E36" s="42">
        <v>0</v>
      </c>
      <c r="F36" s="44">
        <v>0</v>
      </c>
      <c r="G36" s="42">
        <v>0</v>
      </c>
      <c r="H36" s="42">
        <v>0</v>
      </c>
      <c r="I36" s="42">
        <v>0</v>
      </c>
      <c r="J36" s="42">
        <v>0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6"/>
      <c r="Q36" s="41" t="s">
        <v>14</v>
      </c>
    </row>
    <row r="37" spans="1:17" ht="16" thickBot="1">
      <c r="A37" s="11"/>
      <c r="B37" s="45" t="s">
        <v>38</v>
      </c>
      <c r="C37" s="45"/>
      <c r="D37" s="46">
        <f>SUM(D13:D36)</f>
        <v>17857911.299999997</v>
      </c>
      <c r="E37" s="46">
        <f t="shared" ref="E37:O37" si="2">SUM(E13:E36)</f>
        <v>8869574.9500000011</v>
      </c>
      <c r="F37" s="46">
        <f t="shared" si="2"/>
        <v>16749420.75</v>
      </c>
      <c r="G37" s="46">
        <f t="shared" si="2"/>
        <v>22181574.240000002</v>
      </c>
      <c r="H37" s="46">
        <f t="shared" si="2"/>
        <v>9522840.75</v>
      </c>
      <c r="I37" s="46">
        <f t="shared" si="2"/>
        <v>12934312.75</v>
      </c>
      <c r="J37" s="46">
        <f t="shared" si="2"/>
        <v>12494280</v>
      </c>
      <c r="K37" s="46">
        <f t="shared" si="2"/>
        <v>16133014.75</v>
      </c>
      <c r="L37" s="46">
        <f t="shared" si="2"/>
        <v>4460200</v>
      </c>
      <c r="M37" s="46">
        <f t="shared" si="2"/>
        <v>0</v>
      </c>
      <c r="N37" s="46">
        <f t="shared" si="2"/>
        <v>4182774.75</v>
      </c>
      <c r="O37" s="46">
        <f t="shared" si="2"/>
        <v>23234800</v>
      </c>
      <c r="P37" s="17"/>
      <c r="Q37" s="17"/>
    </row>
    <row r="38" spans="1:17" ht="10" customHeight="1" thickBot="1">
      <c r="A38" s="11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7"/>
    </row>
    <row r="39" spans="1:17" ht="21.5" customHeight="1" thickBot="1">
      <c r="A39" s="26" t="s">
        <v>39</v>
      </c>
      <c r="B39" s="2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27">
        <f>SUM(D42:O79)</f>
        <v>130705668.68000005</v>
      </c>
    </row>
    <row r="40" spans="1:17" ht="9" customHeight="1">
      <c r="A40" s="11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7"/>
    </row>
    <row r="41" spans="1:17">
      <c r="A41" s="11"/>
      <c r="B41" s="47" t="s">
        <v>9</v>
      </c>
      <c r="C41" s="47" t="s">
        <v>40</v>
      </c>
      <c r="D41" s="34">
        <v>46113</v>
      </c>
      <c r="E41" s="34">
        <v>46143</v>
      </c>
      <c r="F41" s="34">
        <v>46174</v>
      </c>
      <c r="G41" s="34">
        <v>46204</v>
      </c>
      <c r="H41" s="34">
        <v>46235</v>
      </c>
      <c r="I41" s="34">
        <v>46266</v>
      </c>
      <c r="J41" s="34">
        <v>46296</v>
      </c>
      <c r="K41" s="34">
        <v>46327</v>
      </c>
      <c r="L41" s="34">
        <v>46357</v>
      </c>
      <c r="M41" s="34">
        <v>46388</v>
      </c>
      <c r="N41" s="34">
        <v>46419</v>
      </c>
      <c r="O41" s="34">
        <v>46447</v>
      </c>
      <c r="P41" s="48"/>
      <c r="Q41" s="49" t="s">
        <v>11</v>
      </c>
    </row>
    <row r="42" spans="1:17">
      <c r="A42" s="6"/>
      <c r="B42" s="37">
        <v>1</v>
      </c>
      <c r="C42" s="38" t="s">
        <v>16</v>
      </c>
      <c r="D42" s="44">
        <v>110000</v>
      </c>
      <c r="E42" s="44">
        <v>110000</v>
      </c>
      <c r="F42" s="44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6"/>
      <c r="Q42" s="50"/>
    </row>
    <row r="43" spans="1:17">
      <c r="A43" s="11"/>
      <c r="B43" s="37">
        <f>B42+1</f>
        <v>2</v>
      </c>
      <c r="C43" s="38" t="s">
        <v>18</v>
      </c>
      <c r="D43" s="42">
        <v>1886400</v>
      </c>
      <c r="E43" s="42">
        <f>1886400+450000</f>
        <v>2336400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6"/>
      <c r="Q43" s="50"/>
    </row>
    <row r="44" spans="1:17">
      <c r="A44" s="11"/>
      <c r="B44" s="37">
        <f t="shared" ref="B44:B79" si="3">B43+1</f>
        <v>3</v>
      </c>
      <c r="C44" s="38" t="s">
        <v>20</v>
      </c>
      <c r="D44" s="42">
        <v>300000</v>
      </c>
      <c r="E44" s="42">
        <v>200000</v>
      </c>
      <c r="F44" s="42">
        <v>150000</v>
      </c>
      <c r="G44" s="42">
        <v>0</v>
      </c>
      <c r="H44" s="42">
        <v>150000</v>
      </c>
      <c r="I44" s="42">
        <v>200000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6"/>
      <c r="Q44" s="50"/>
    </row>
    <row r="45" spans="1:17">
      <c r="A45" s="11"/>
      <c r="B45" s="37">
        <f t="shared" si="3"/>
        <v>4</v>
      </c>
      <c r="C45" s="38" t="s">
        <v>22</v>
      </c>
      <c r="D45" s="42">
        <v>1800000</v>
      </c>
      <c r="E45" s="42">
        <v>350000</v>
      </c>
      <c r="F45" s="42">
        <v>7773596.2400000002</v>
      </c>
      <c r="G45" s="51">
        <v>0</v>
      </c>
      <c r="H45" s="51">
        <v>0</v>
      </c>
      <c r="I45" s="51">
        <v>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  <c r="P45" s="6"/>
      <c r="Q45" s="50"/>
    </row>
    <row r="46" spans="1:17">
      <c r="A46" s="11"/>
      <c r="B46" s="37">
        <f t="shared" si="3"/>
        <v>5</v>
      </c>
      <c r="C46" s="38" t="s">
        <v>23</v>
      </c>
      <c r="D46" s="42">
        <v>510000</v>
      </c>
      <c r="E46" s="42">
        <v>620000</v>
      </c>
      <c r="F46" s="42">
        <v>380000</v>
      </c>
      <c r="G46" s="42">
        <v>620000</v>
      </c>
      <c r="H46" s="42">
        <v>380000</v>
      </c>
      <c r="I46" s="42">
        <v>620000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6"/>
      <c r="Q46" s="50"/>
    </row>
    <row r="47" spans="1:17">
      <c r="A47" s="11"/>
      <c r="B47" s="37">
        <f t="shared" si="3"/>
        <v>6</v>
      </c>
      <c r="C47" s="38" t="s">
        <v>19</v>
      </c>
      <c r="D47" s="42">
        <v>100000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6"/>
      <c r="Q47" s="50"/>
    </row>
    <row r="48" spans="1:17">
      <c r="A48" s="11"/>
      <c r="B48" s="37">
        <f t="shared" si="3"/>
        <v>7</v>
      </c>
      <c r="C48" s="38" t="s">
        <v>27</v>
      </c>
      <c r="D48" s="44">
        <v>0</v>
      </c>
      <c r="E48" s="44">
        <v>120000</v>
      </c>
      <c r="F48" s="44">
        <v>120000</v>
      </c>
      <c r="G48" s="44">
        <v>120000</v>
      </c>
      <c r="H48" s="44">
        <v>120000</v>
      </c>
      <c r="I48" s="44">
        <v>120000</v>
      </c>
      <c r="J48" s="44">
        <v>120000</v>
      </c>
      <c r="K48" s="42">
        <v>742400</v>
      </c>
      <c r="L48" s="42">
        <v>0</v>
      </c>
      <c r="M48" s="42">
        <v>0</v>
      </c>
      <c r="N48" s="42">
        <v>0</v>
      </c>
      <c r="O48" s="42">
        <v>0</v>
      </c>
      <c r="P48" s="6"/>
      <c r="Q48" s="50"/>
    </row>
    <row r="49" spans="1:17">
      <c r="A49" s="11"/>
      <c r="B49" s="37">
        <f t="shared" si="3"/>
        <v>8</v>
      </c>
      <c r="C49" s="38" t="s">
        <v>41</v>
      </c>
      <c r="D49" s="39">
        <v>930920</v>
      </c>
      <c r="E49" s="39">
        <v>1055920</v>
      </c>
      <c r="F49" s="39">
        <v>1055920</v>
      </c>
      <c r="G49" s="39">
        <v>1055920</v>
      </c>
      <c r="H49" s="39">
        <v>1055920</v>
      </c>
      <c r="I49" s="39">
        <v>1055920</v>
      </c>
      <c r="J49" s="40">
        <v>1438720</v>
      </c>
      <c r="K49" s="39">
        <v>979360</v>
      </c>
      <c r="L49" s="39">
        <v>0</v>
      </c>
      <c r="M49" s="39">
        <v>0</v>
      </c>
      <c r="N49" s="39">
        <v>0</v>
      </c>
      <c r="O49" s="39">
        <v>0</v>
      </c>
      <c r="P49" s="6"/>
      <c r="Q49" s="50"/>
    </row>
    <row r="50" spans="1:17">
      <c r="A50" s="11"/>
      <c r="B50" s="37">
        <f t="shared" si="3"/>
        <v>9</v>
      </c>
      <c r="C50" s="43" t="s">
        <v>42</v>
      </c>
      <c r="D50" s="44">
        <v>0</v>
      </c>
      <c r="E50" s="44">
        <v>527100</v>
      </c>
      <c r="F50" s="44">
        <v>527100</v>
      </c>
      <c r="G50" s="44">
        <v>527100</v>
      </c>
      <c r="H50" s="44">
        <v>527100</v>
      </c>
      <c r="I50" s="44">
        <v>527100</v>
      </c>
      <c r="J50" s="44"/>
      <c r="K50" s="44"/>
      <c r="L50" s="44"/>
      <c r="M50" s="44"/>
      <c r="N50" s="44"/>
      <c r="O50" s="44"/>
      <c r="P50" s="6"/>
      <c r="Q50" s="50"/>
    </row>
    <row r="51" spans="1:17">
      <c r="A51" s="11"/>
      <c r="B51" s="37">
        <f t="shared" si="3"/>
        <v>10</v>
      </c>
      <c r="C51" s="38" t="s">
        <v>28</v>
      </c>
      <c r="D51" s="44">
        <v>0</v>
      </c>
      <c r="E51" s="44">
        <v>300000</v>
      </c>
      <c r="F51" s="44">
        <f>F27*25%+1440000</f>
        <v>1440000</v>
      </c>
      <c r="G51" s="44">
        <f>G27*25%+1440000</f>
        <v>2182400</v>
      </c>
      <c r="H51" s="44">
        <f>H27*25%+1440000</f>
        <v>2182400</v>
      </c>
      <c r="I51" s="44">
        <f>I27*25%+1440000</f>
        <v>2182400</v>
      </c>
      <c r="J51" s="44">
        <f>J27*25%+1440000</f>
        <v>2182400</v>
      </c>
      <c r="K51" s="44">
        <v>280000</v>
      </c>
      <c r="L51" s="44">
        <v>280000</v>
      </c>
      <c r="M51" s="44">
        <v>280000</v>
      </c>
      <c r="N51" s="44">
        <v>280000</v>
      </c>
      <c r="O51" s="44">
        <f>O27*25%</f>
        <v>3712000</v>
      </c>
      <c r="P51" s="44"/>
      <c r="Q51" s="50"/>
    </row>
    <row r="52" spans="1:17">
      <c r="A52" s="11"/>
      <c r="B52" s="37">
        <f t="shared" si="3"/>
        <v>11</v>
      </c>
      <c r="C52" s="38" t="s">
        <v>29</v>
      </c>
      <c r="D52" s="52">
        <v>0</v>
      </c>
      <c r="E52" s="52">
        <v>300000</v>
      </c>
      <c r="F52" s="40">
        <f t="shared" ref="F52:K52" si="4">F28*25%+740000</f>
        <v>740000</v>
      </c>
      <c r="G52" s="40">
        <f t="shared" si="4"/>
        <v>1089450</v>
      </c>
      <c r="H52" s="40">
        <f t="shared" si="4"/>
        <v>1089450</v>
      </c>
      <c r="I52" s="40">
        <f t="shared" si="4"/>
        <v>1089450</v>
      </c>
      <c r="J52" s="40">
        <f t="shared" si="4"/>
        <v>1089450</v>
      </c>
      <c r="K52" s="40">
        <f t="shared" si="4"/>
        <v>1089450</v>
      </c>
      <c r="L52" s="40">
        <v>140000</v>
      </c>
      <c r="M52" s="40">
        <v>140000</v>
      </c>
      <c r="N52" s="40">
        <v>140000</v>
      </c>
      <c r="O52" s="40">
        <f>O28*25%</f>
        <v>2096700</v>
      </c>
      <c r="P52" s="53"/>
      <c r="Q52" s="50"/>
    </row>
    <row r="53" spans="1:17">
      <c r="A53" s="11"/>
      <c r="B53" s="37">
        <f t="shared" si="3"/>
        <v>12</v>
      </c>
      <c r="C53" s="38" t="s">
        <v>43</v>
      </c>
      <c r="D53" s="40">
        <v>938016</v>
      </c>
      <c r="E53" s="40">
        <v>350000</v>
      </c>
      <c r="F53" s="40">
        <v>2509664.85</v>
      </c>
      <c r="G53" s="40">
        <v>450000</v>
      </c>
      <c r="H53" s="40">
        <v>938016.45</v>
      </c>
      <c r="I53" s="40">
        <v>938016.45</v>
      </c>
      <c r="J53" s="40">
        <v>450000</v>
      </c>
      <c r="K53" s="40">
        <v>2509664.85</v>
      </c>
      <c r="L53" s="40">
        <v>450000</v>
      </c>
      <c r="M53" s="40">
        <v>2509664.85</v>
      </c>
      <c r="N53" s="40">
        <v>450000</v>
      </c>
      <c r="O53" s="40">
        <v>450000</v>
      </c>
      <c r="P53" s="53"/>
      <c r="Q53" s="50"/>
    </row>
    <row r="54" spans="1:17">
      <c r="A54" s="11"/>
      <c r="B54" s="37">
        <f t="shared" si="3"/>
        <v>13</v>
      </c>
      <c r="C54" s="38" t="s">
        <v>44</v>
      </c>
      <c r="D54" s="52">
        <v>2420176</v>
      </c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3"/>
      <c r="Q54" s="50"/>
    </row>
    <row r="55" spans="1:17">
      <c r="A55" s="11"/>
      <c r="B55" s="37">
        <f t="shared" si="3"/>
        <v>14</v>
      </c>
      <c r="C55" s="38" t="s">
        <v>45</v>
      </c>
      <c r="D55" s="42">
        <v>0</v>
      </c>
      <c r="E55" s="42">
        <v>5150000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  <c r="P55" s="6"/>
      <c r="Q55" s="50"/>
    </row>
    <row r="56" spans="1:17">
      <c r="A56" s="11"/>
      <c r="B56" s="37">
        <f t="shared" si="3"/>
        <v>15</v>
      </c>
      <c r="C56" s="38" t="s">
        <v>46</v>
      </c>
      <c r="D56" s="42">
        <v>135000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6"/>
      <c r="Q56" s="50"/>
    </row>
    <row r="57" spans="1:17">
      <c r="A57" s="11"/>
      <c r="B57" s="37">
        <f t="shared" si="3"/>
        <v>16</v>
      </c>
      <c r="C57" s="38" t="s">
        <v>47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127238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6"/>
      <c r="Q57" s="50"/>
    </row>
    <row r="58" spans="1:17">
      <c r="A58" s="11"/>
      <c r="B58" s="37">
        <f t="shared" si="3"/>
        <v>17</v>
      </c>
      <c r="C58" s="54" t="s">
        <v>48</v>
      </c>
      <c r="D58" s="42">
        <v>55000</v>
      </c>
      <c r="E58" s="42">
        <v>55000</v>
      </c>
      <c r="F58" s="55">
        <v>85000</v>
      </c>
      <c r="G58" s="42">
        <v>100000</v>
      </c>
      <c r="H58" s="42">
        <v>125000</v>
      </c>
      <c r="I58" s="55">
        <v>125000</v>
      </c>
      <c r="J58" s="55">
        <v>125000</v>
      </c>
      <c r="K58" s="55">
        <v>125000</v>
      </c>
      <c r="L58" s="55">
        <v>125000</v>
      </c>
      <c r="M58" s="42">
        <v>125000</v>
      </c>
      <c r="N58" s="42">
        <v>125000</v>
      </c>
      <c r="O58" s="42">
        <v>125000</v>
      </c>
      <c r="P58" s="6"/>
      <c r="Q58" s="50"/>
    </row>
    <row r="59" spans="1:17">
      <c r="A59" s="11"/>
      <c r="B59" s="37">
        <f t="shared" si="3"/>
        <v>18</v>
      </c>
      <c r="C59" s="54" t="s">
        <v>49</v>
      </c>
      <c r="D59" s="56">
        <v>10000</v>
      </c>
      <c r="E59" s="56">
        <v>10000</v>
      </c>
      <c r="F59" s="56">
        <v>10000</v>
      </c>
      <c r="G59" s="56">
        <v>10000</v>
      </c>
      <c r="H59" s="56">
        <v>10000</v>
      </c>
      <c r="I59" s="56">
        <v>10000</v>
      </c>
      <c r="J59" s="56">
        <v>10000</v>
      </c>
      <c r="K59" s="56">
        <v>10000</v>
      </c>
      <c r="L59" s="56">
        <v>10000</v>
      </c>
      <c r="M59" s="56">
        <v>10000</v>
      </c>
      <c r="N59" s="56">
        <v>10000</v>
      </c>
      <c r="O59" s="56">
        <v>10000</v>
      </c>
      <c r="P59" s="6"/>
      <c r="Q59" s="50"/>
    </row>
    <row r="60" spans="1:17">
      <c r="A60" s="11"/>
      <c r="B60" s="37">
        <f t="shared" si="3"/>
        <v>19</v>
      </c>
      <c r="C60" s="54" t="s">
        <v>50</v>
      </c>
      <c r="D60" s="56">
        <v>15000</v>
      </c>
      <c r="E60" s="56">
        <v>15000</v>
      </c>
      <c r="F60" s="56">
        <v>15000</v>
      </c>
      <c r="G60" s="56">
        <v>15000</v>
      </c>
      <c r="H60" s="56">
        <v>15000</v>
      </c>
      <c r="I60" s="56">
        <v>15000</v>
      </c>
      <c r="J60" s="56">
        <v>15000</v>
      </c>
      <c r="K60" s="56">
        <v>15000</v>
      </c>
      <c r="L60" s="56">
        <v>15000</v>
      </c>
      <c r="M60" s="56">
        <v>15000</v>
      </c>
      <c r="N60" s="56">
        <v>15000</v>
      </c>
      <c r="O60" s="56">
        <v>15000</v>
      </c>
      <c r="P60" s="48"/>
      <c r="Q60" s="57"/>
    </row>
    <row r="61" spans="1:17">
      <c r="A61" s="11"/>
      <c r="B61" s="37">
        <f t="shared" si="3"/>
        <v>20</v>
      </c>
      <c r="C61" s="54" t="s">
        <v>51</v>
      </c>
      <c r="D61" s="56">
        <v>1500</v>
      </c>
      <c r="E61" s="56">
        <v>1500</v>
      </c>
      <c r="F61" s="56">
        <v>1500</v>
      </c>
      <c r="G61" s="56">
        <v>1500</v>
      </c>
      <c r="H61" s="56">
        <v>1500</v>
      </c>
      <c r="I61" s="56">
        <v>1500</v>
      </c>
      <c r="J61" s="56">
        <v>1500</v>
      </c>
      <c r="K61" s="56">
        <v>1500</v>
      </c>
      <c r="L61" s="56">
        <v>1500</v>
      </c>
      <c r="M61" s="56">
        <v>1500</v>
      </c>
      <c r="N61" s="56">
        <v>1500</v>
      </c>
      <c r="O61" s="56">
        <v>1500</v>
      </c>
      <c r="P61" s="48"/>
      <c r="Q61" s="57"/>
    </row>
    <row r="62" spans="1:17">
      <c r="A62" s="11"/>
      <c r="B62" s="37">
        <f t="shared" si="3"/>
        <v>21</v>
      </c>
      <c r="C62" s="54" t="s">
        <v>52</v>
      </c>
      <c r="D62" s="56">
        <v>80000</v>
      </c>
      <c r="E62" s="56">
        <v>80000</v>
      </c>
      <c r="F62" s="56">
        <v>80000</v>
      </c>
      <c r="G62" s="56">
        <v>80000</v>
      </c>
      <c r="H62" s="56">
        <v>80000</v>
      </c>
      <c r="I62" s="56">
        <v>80000</v>
      </c>
      <c r="J62" s="56">
        <v>80000</v>
      </c>
      <c r="K62" s="56">
        <v>80000</v>
      </c>
      <c r="L62" s="56">
        <v>80000</v>
      </c>
      <c r="M62" s="56">
        <v>80000</v>
      </c>
      <c r="N62" s="56">
        <v>80000</v>
      </c>
      <c r="O62" s="56">
        <v>80000</v>
      </c>
      <c r="P62" s="48"/>
      <c r="Q62" s="58"/>
    </row>
    <row r="63" spans="1:17">
      <c r="A63" s="11"/>
      <c r="B63" s="37">
        <f t="shared" si="3"/>
        <v>22</v>
      </c>
      <c r="C63" s="54" t="s">
        <v>53</v>
      </c>
      <c r="D63" s="56">
        <v>30000</v>
      </c>
      <c r="E63" s="56">
        <v>30000</v>
      </c>
      <c r="F63" s="56">
        <v>30000</v>
      </c>
      <c r="G63" s="56">
        <v>30000</v>
      </c>
      <c r="H63" s="56">
        <v>30000</v>
      </c>
      <c r="I63" s="56">
        <v>30000</v>
      </c>
      <c r="J63" s="56">
        <v>30000</v>
      </c>
      <c r="K63" s="56">
        <v>30000</v>
      </c>
      <c r="L63" s="56">
        <v>30000</v>
      </c>
      <c r="M63" s="56">
        <v>30000</v>
      </c>
      <c r="N63" s="56">
        <v>30000</v>
      </c>
      <c r="O63" s="56">
        <v>30000</v>
      </c>
      <c r="P63" s="6"/>
      <c r="Q63" s="59"/>
    </row>
    <row r="64" spans="1:17">
      <c r="A64" s="11"/>
      <c r="B64" s="37">
        <f t="shared" si="3"/>
        <v>23</v>
      </c>
      <c r="C64" s="54" t="s">
        <v>54</v>
      </c>
      <c r="D64" s="56">
        <v>17700</v>
      </c>
      <c r="E64" s="56">
        <v>17700</v>
      </c>
      <c r="F64" s="56">
        <v>17700</v>
      </c>
      <c r="G64" s="56">
        <v>17700</v>
      </c>
      <c r="H64" s="56">
        <v>17700</v>
      </c>
      <c r="I64" s="56">
        <v>17700</v>
      </c>
      <c r="J64" s="56">
        <v>17700</v>
      </c>
      <c r="K64" s="56">
        <v>17700</v>
      </c>
      <c r="L64" s="56">
        <v>17700</v>
      </c>
      <c r="M64" s="56">
        <v>17700</v>
      </c>
      <c r="N64" s="56">
        <v>17700</v>
      </c>
      <c r="O64" s="56">
        <v>17700</v>
      </c>
      <c r="P64" s="6"/>
      <c r="Q64" s="59"/>
    </row>
    <row r="65" spans="1:17">
      <c r="A65" s="11"/>
      <c r="B65" s="37">
        <f t="shared" si="3"/>
        <v>24</v>
      </c>
      <c r="C65" s="54" t="s">
        <v>55</v>
      </c>
      <c r="D65" s="56">
        <v>8500</v>
      </c>
      <c r="E65" s="56">
        <v>15000</v>
      </c>
      <c r="F65" s="56">
        <v>15000</v>
      </c>
      <c r="G65" s="56">
        <v>15000</v>
      </c>
      <c r="H65" s="56">
        <v>15000</v>
      </c>
      <c r="I65" s="56">
        <v>15000</v>
      </c>
      <c r="J65" s="56">
        <v>15000</v>
      </c>
      <c r="K65" s="56">
        <v>15000</v>
      </c>
      <c r="L65" s="56">
        <v>15000</v>
      </c>
      <c r="M65" s="56">
        <v>15000</v>
      </c>
      <c r="N65" s="56">
        <v>15000</v>
      </c>
      <c r="O65" s="56">
        <v>15000</v>
      </c>
      <c r="P65" s="6"/>
      <c r="Q65" s="59"/>
    </row>
    <row r="66" spans="1:17">
      <c r="A66" s="11"/>
      <c r="B66" s="37">
        <f t="shared" si="3"/>
        <v>25</v>
      </c>
      <c r="C66" s="54" t="s">
        <v>56</v>
      </c>
      <c r="D66" s="42">
        <v>1061070</v>
      </c>
      <c r="E66" s="42">
        <v>0</v>
      </c>
      <c r="F66" s="42">
        <v>0</v>
      </c>
      <c r="G66" s="42">
        <v>1061070</v>
      </c>
      <c r="H66" s="42">
        <v>0</v>
      </c>
      <c r="I66" s="42">
        <v>0</v>
      </c>
      <c r="J66" s="42">
        <v>1061070</v>
      </c>
      <c r="K66" s="42"/>
      <c r="L66" s="42">
        <v>0</v>
      </c>
      <c r="M66" s="42">
        <v>1061070</v>
      </c>
      <c r="N66" s="42">
        <v>0</v>
      </c>
      <c r="O66" s="42">
        <v>0</v>
      </c>
      <c r="P66" s="6"/>
      <c r="Q66" s="59"/>
    </row>
    <row r="67" spans="1:17">
      <c r="A67" s="6"/>
      <c r="B67" s="37">
        <f t="shared" si="3"/>
        <v>26</v>
      </c>
      <c r="C67" s="54" t="s">
        <v>57</v>
      </c>
      <c r="D67" s="42">
        <v>100000</v>
      </c>
      <c r="E67" s="56">
        <v>100000</v>
      </c>
      <c r="F67" s="56">
        <v>100000</v>
      </c>
      <c r="G67" s="42">
        <v>100000</v>
      </c>
      <c r="H67" s="56">
        <v>100000</v>
      </c>
      <c r="I67" s="56">
        <v>100000</v>
      </c>
      <c r="J67" s="56">
        <v>100000</v>
      </c>
      <c r="K67" s="56">
        <v>100000</v>
      </c>
      <c r="L67" s="56">
        <v>100000</v>
      </c>
      <c r="M67" s="42">
        <v>100000</v>
      </c>
      <c r="N67" s="56">
        <v>100000</v>
      </c>
      <c r="O67" s="56">
        <v>100000</v>
      </c>
      <c r="P67" s="6"/>
      <c r="Q67" s="59"/>
    </row>
    <row r="68" spans="1:17">
      <c r="A68" s="6"/>
      <c r="B68" s="37">
        <f t="shared" si="3"/>
        <v>27</v>
      </c>
      <c r="C68" s="54" t="s">
        <v>58</v>
      </c>
      <c r="D68" s="56">
        <v>0</v>
      </c>
      <c r="E68" s="56">
        <v>3579160.0900000003</v>
      </c>
      <c r="F68" s="56">
        <v>3579160.0900000003</v>
      </c>
      <c r="G68" s="56">
        <v>3579160.0900000003</v>
      </c>
      <c r="H68" s="56">
        <v>3579160.0900000003</v>
      </c>
      <c r="I68" s="56">
        <v>3579160.0900000003</v>
      </c>
      <c r="J68" s="56">
        <v>3579160.0900000003</v>
      </c>
      <c r="K68" s="56">
        <v>3579160.0900000003</v>
      </c>
      <c r="L68" s="56">
        <v>3579160.0900000003</v>
      </c>
      <c r="M68" s="56">
        <v>3579160.0900000003</v>
      </c>
      <c r="N68" s="56">
        <v>3579160.0900000003</v>
      </c>
      <c r="O68" s="56">
        <v>3579160.0900000003</v>
      </c>
      <c r="P68" s="6"/>
      <c r="Q68" s="59"/>
    </row>
    <row r="69" spans="1:17">
      <c r="A69" s="6"/>
      <c r="B69" s="37">
        <f t="shared" si="3"/>
        <v>28</v>
      </c>
      <c r="C69" s="54" t="s">
        <v>59</v>
      </c>
      <c r="D69" s="56">
        <v>0</v>
      </c>
      <c r="E69" s="56">
        <v>1614005</v>
      </c>
      <c r="F69" s="56">
        <v>0</v>
      </c>
      <c r="G69" s="56">
        <v>0</v>
      </c>
      <c r="H69" s="56">
        <v>0</v>
      </c>
      <c r="I69" s="56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0</v>
      </c>
      <c r="P69" s="6"/>
      <c r="Q69" s="59"/>
    </row>
    <row r="70" spans="1:17">
      <c r="A70" s="6"/>
      <c r="B70" s="37">
        <f t="shared" si="3"/>
        <v>29</v>
      </c>
      <c r="C70" s="54" t="s">
        <v>60</v>
      </c>
      <c r="D70" s="42">
        <v>120000</v>
      </c>
      <c r="E70" s="42">
        <v>120000</v>
      </c>
      <c r="F70" s="56">
        <v>120000</v>
      </c>
      <c r="G70" s="42">
        <v>120000</v>
      </c>
      <c r="H70" s="42">
        <v>120000</v>
      </c>
      <c r="I70" s="42">
        <v>120000</v>
      </c>
      <c r="J70" s="42">
        <v>120000</v>
      </c>
      <c r="K70" s="42">
        <v>120000</v>
      </c>
      <c r="L70" s="42">
        <v>120000</v>
      </c>
      <c r="M70" s="42">
        <v>120000</v>
      </c>
      <c r="N70" s="42">
        <v>120000</v>
      </c>
      <c r="O70" s="42">
        <v>120000</v>
      </c>
      <c r="P70" s="6"/>
      <c r="Q70" s="59"/>
    </row>
    <row r="71" spans="1:17">
      <c r="A71" s="6"/>
      <c r="B71" s="37">
        <f t="shared" si="3"/>
        <v>30</v>
      </c>
      <c r="C71" s="54" t="s">
        <v>61</v>
      </c>
      <c r="D71" s="56">
        <v>22866</v>
      </c>
      <c r="E71" s="56">
        <v>22866</v>
      </c>
      <c r="F71" s="56">
        <v>22866</v>
      </c>
      <c r="G71" s="56">
        <v>22866</v>
      </c>
      <c r="H71" s="56">
        <v>22866</v>
      </c>
      <c r="I71" s="56">
        <v>22866</v>
      </c>
      <c r="J71" s="56">
        <v>22866</v>
      </c>
      <c r="K71" s="56">
        <v>22866</v>
      </c>
      <c r="L71" s="56">
        <v>22866</v>
      </c>
      <c r="M71" s="56">
        <v>22866</v>
      </c>
      <c r="N71" s="56">
        <v>22866</v>
      </c>
      <c r="O71" s="56">
        <v>22866</v>
      </c>
      <c r="P71" s="6"/>
      <c r="Q71" s="59"/>
    </row>
    <row r="72" spans="1:17">
      <c r="A72" s="6"/>
      <c r="B72" s="37">
        <f t="shared" si="3"/>
        <v>31</v>
      </c>
      <c r="C72" s="54" t="s">
        <v>62</v>
      </c>
      <c r="D72" s="56">
        <v>15000</v>
      </c>
      <c r="E72" s="56">
        <v>15000</v>
      </c>
      <c r="F72" s="56">
        <v>15000</v>
      </c>
      <c r="G72" s="56">
        <v>15000</v>
      </c>
      <c r="H72" s="56">
        <v>15000</v>
      </c>
      <c r="I72" s="56">
        <v>15000</v>
      </c>
      <c r="J72" s="56">
        <v>15000</v>
      </c>
      <c r="K72" s="56">
        <v>15000</v>
      </c>
      <c r="L72" s="56">
        <v>15000</v>
      </c>
      <c r="M72" s="56">
        <v>15000</v>
      </c>
      <c r="N72" s="56">
        <v>15000</v>
      </c>
      <c r="O72" s="56">
        <v>15000</v>
      </c>
      <c r="P72" s="6"/>
      <c r="Q72" s="59"/>
    </row>
    <row r="73" spans="1:17">
      <c r="A73" s="6"/>
      <c r="B73" s="37">
        <f t="shared" si="3"/>
        <v>32</v>
      </c>
      <c r="C73" s="54" t="s">
        <v>63</v>
      </c>
      <c r="D73" s="56">
        <v>25000</v>
      </c>
      <c r="E73" s="56">
        <v>25000</v>
      </c>
      <c r="F73" s="56">
        <v>25000</v>
      </c>
      <c r="G73" s="56">
        <v>25000</v>
      </c>
      <c r="H73" s="56">
        <v>25000</v>
      </c>
      <c r="I73" s="56">
        <v>25000</v>
      </c>
      <c r="J73" s="56">
        <v>25000</v>
      </c>
      <c r="K73" s="56">
        <v>25000</v>
      </c>
      <c r="L73" s="56">
        <v>25000</v>
      </c>
      <c r="M73" s="56">
        <v>25000</v>
      </c>
      <c r="N73" s="56">
        <v>25000</v>
      </c>
      <c r="O73" s="56">
        <v>25000</v>
      </c>
      <c r="P73" s="6"/>
      <c r="Q73" s="59"/>
    </row>
    <row r="74" spans="1:17">
      <c r="A74" s="6"/>
      <c r="B74" s="37">
        <f t="shared" si="3"/>
        <v>33</v>
      </c>
      <c r="C74" s="54" t="s">
        <v>64</v>
      </c>
      <c r="D74" s="56">
        <v>25000</v>
      </c>
      <c r="E74" s="56">
        <v>25000</v>
      </c>
      <c r="F74" s="56">
        <v>25000</v>
      </c>
      <c r="G74" s="56">
        <v>25000</v>
      </c>
      <c r="H74" s="56">
        <v>25000</v>
      </c>
      <c r="I74" s="56">
        <v>25000</v>
      </c>
      <c r="J74" s="56">
        <v>25000</v>
      </c>
      <c r="K74" s="56">
        <v>25000</v>
      </c>
      <c r="L74" s="56">
        <v>25000</v>
      </c>
      <c r="M74" s="56">
        <v>25000</v>
      </c>
      <c r="N74" s="56">
        <v>25000</v>
      </c>
      <c r="O74" s="56">
        <v>25000</v>
      </c>
      <c r="P74" s="6"/>
      <c r="Q74" s="59"/>
    </row>
    <row r="75" spans="1:17">
      <c r="A75" s="6"/>
      <c r="B75" s="37">
        <f t="shared" si="3"/>
        <v>34</v>
      </c>
      <c r="C75" s="54" t="s">
        <v>65</v>
      </c>
      <c r="D75" s="56">
        <v>50000</v>
      </c>
      <c r="E75" s="56">
        <v>50000</v>
      </c>
      <c r="F75" s="56">
        <v>50000</v>
      </c>
      <c r="G75" s="56">
        <v>50000</v>
      </c>
      <c r="H75" s="56">
        <v>50000</v>
      </c>
      <c r="I75" s="56">
        <v>50000</v>
      </c>
      <c r="J75" s="56">
        <v>50000</v>
      </c>
      <c r="K75" s="56">
        <v>50000</v>
      </c>
      <c r="L75" s="56">
        <v>50000</v>
      </c>
      <c r="M75" s="56">
        <v>50000</v>
      </c>
      <c r="N75" s="56">
        <v>50000</v>
      </c>
      <c r="O75" s="56">
        <v>50000</v>
      </c>
      <c r="P75" s="6"/>
      <c r="Q75" s="59"/>
    </row>
    <row r="76" spans="1:17">
      <c r="A76" s="6"/>
      <c r="B76" s="37">
        <f t="shared" si="3"/>
        <v>35</v>
      </c>
      <c r="C76" s="54" t="s">
        <v>66</v>
      </c>
      <c r="D76" s="56">
        <v>799782</v>
      </c>
      <c r="E76" s="56">
        <v>15000</v>
      </c>
      <c r="F76" s="56">
        <v>15000</v>
      </c>
      <c r="G76" s="56">
        <v>15000</v>
      </c>
      <c r="H76" s="56">
        <v>15000</v>
      </c>
      <c r="I76" s="56">
        <v>15000</v>
      </c>
      <c r="J76" s="56">
        <v>15000</v>
      </c>
      <c r="K76" s="56">
        <v>15000</v>
      </c>
      <c r="L76" s="56">
        <v>15000</v>
      </c>
      <c r="M76" s="56">
        <v>15000</v>
      </c>
      <c r="N76" s="56">
        <v>15000</v>
      </c>
      <c r="O76" s="56">
        <v>15000</v>
      </c>
      <c r="P76" s="6"/>
      <c r="Q76" s="59"/>
    </row>
    <row r="77" spans="1:17">
      <c r="A77" s="6"/>
      <c r="B77" s="37">
        <f t="shared" si="3"/>
        <v>36</v>
      </c>
      <c r="C77" s="54" t="s">
        <v>67</v>
      </c>
      <c r="D77" s="60">
        <v>15000</v>
      </c>
      <c r="E77" s="56">
        <v>15000</v>
      </c>
      <c r="F77" s="56">
        <v>15000</v>
      </c>
      <c r="G77" s="56">
        <v>15000</v>
      </c>
      <c r="H77" s="56">
        <v>15000</v>
      </c>
      <c r="I77" s="56">
        <v>15000</v>
      </c>
      <c r="J77" s="56">
        <v>15000</v>
      </c>
      <c r="K77" s="56">
        <v>15000</v>
      </c>
      <c r="L77" s="56">
        <v>15000</v>
      </c>
      <c r="M77" s="56">
        <v>15000</v>
      </c>
      <c r="N77" s="56">
        <v>15000</v>
      </c>
      <c r="O77" s="56">
        <v>15000</v>
      </c>
      <c r="P77" s="6"/>
      <c r="Q77" s="59"/>
    </row>
    <row r="78" spans="1:17" ht="21">
      <c r="A78" s="6"/>
      <c r="B78" s="37">
        <f t="shared" si="3"/>
        <v>37</v>
      </c>
      <c r="C78" s="54" t="s">
        <v>68</v>
      </c>
      <c r="D78" s="56">
        <v>4830</v>
      </c>
      <c r="E78" s="56">
        <v>4830</v>
      </c>
      <c r="F78" s="56">
        <v>4830</v>
      </c>
      <c r="G78" s="56">
        <v>4830</v>
      </c>
      <c r="H78" s="56">
        <v>4830</v>
      </c>
      <c r="I78" s="56">
        <v>4830</v>
      </c>
      <c r="J78" s="56">
        <v>4830</v>
      </c>
      <c r="K78" s="56">
        <v>4830</v>
      </c>
      <c r="L78" s="56">
        <v>4830</v>
      </c>
      <c r="M78" s="56">
        <v>4830</v>
      </c>
      <c r="N78" s="56">
        <v>4830</v>
      </c>
      <c r="O78" s="56">
        <v>4830</v>
      </c>
      <c r="P78" s="6"/>
      <c r="Q78" s="61" t="s">
        <v>69</v>
      </c>
    </row>
    <row r="79" spans="1:17">
      <c r="A79" s="6"/>
      <c r="B79" s="37">
        <f t="shared" si="3"/>
        <v>38</v>
      </c>
      <c r="C79" s="54" t="s">
        <v>70</v>
      </c>
      <c r="D79" s="56">
        <f>4410+8570</f>
        <v>12980</v>
      </c>
      <c r="E79" s="56">
        <v>22155</v>
      </c>
      <c r="F79" s="56">
        <v>22155</v>
      </c>
      <c r="G79" s="56">
        <v>22155</v>
      </c>
      <c r="H79" s="56">
        <v>22155</v>
      </c>
      <c r="I79" s="56">
        <v>22155</v>
      </c>
      <c r="J79" s="56">
        <v>22155</v>
      </c>
      <c r="K79" s="56">
        <v>22155</v>
      </c>
      <c r="L79" s="56">
        <v>22155</v>
      </c>
      <c r="M79" s="56">
        <v>22155</v>
      </c>
      <c r="N79" s="56">
        <v>22155</v>
      </c>
      <c r="O79" s="56">
        <v>22155</v>
      </c>
      <c r="P79" s="6"/>
      <c r="Q79" s="59"/>
    </row>
    <row r="80" spans="1:17" ht="9" customHeight="1">
      <c r="A80" s="11"/>
      <c r="B80" s="37"/>
      <c r="C80" s="62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4"/>
    </row>
    <row r="81" spans="1:18">
      <c r="A81" s="11"/>
      <c r="B81" s="65" t="s">
        <v>71</v>
      </c>
      <c r="C81" s="66"/>
      <c r="D81" s="67">
        <f t="shared" ref="D81:O81" si="5">SUM(D42:D79)</f>
        <v>11599740</v>
      </c>
      <c r="E81" s="67">
        <f t="shared" si="5"/>
        <v>17251636.09</v>
      </c>
      <c r="F81" s="67">
        <f t="shared" si="5"/>
        <v>18944492.18</v>
      </c>
      <c r="G81" s="67">
        <f t="shared" si="5"/>
        <v>11369151.09</v>
      </c>
      <c r="H81" s="67">
        <f t="shared" si="5"/>
        <v>10731097.540000001</v>
      </c>
      <c r="I81" s="67">
        <f t="shared" si="5"/>
        <v>11021097.540000001</v>
      </c>
      <c r="J81" s="67">
        <f t="shared" si="5"/>
        <v>10757089.09</v>
      </c>
      <c r="K81" s="67">
        <f t="shared" si="5"/>
        <v>9889085.9399999995</v>
      </c>
      <c r="L81" s="67">
        <f t="shared" si="5"/>
        <v>5158211.09</v>
      </c>
      <c r="M81" s="67">
        <f t="shared" si="5"/>
        <v>8278945.9399999995</v>
      </c>
      <c r="N81" s="67">
        <f t="shared" si="5"/>
        <v>5158211.09</v>
      </c>
      <c r="O81" s="67">
        <f t="shared" si="5"/>
        <v>10546911.09</v>
      </c>
      <c r="P81" s="63"/>
      <c r="Q81" s="64"/>
    </row>
    <row r="82" spans="1:18" ht="9" customHeight="1" thickBot="1">
      <c r="A82" s="11"/>
      <c r="B82" s="68"/>
      <c r="C82" s="5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70"/>
      <c r="Q82" s="6"/>
    </row>
    <row r="83" spans="1:18" ht="22" thickTop="1" thickBot="1">
      <c r="A83" s="71" t="s">
        <v>72</v>
      </c>
      <c r="B83" s="71"/>
      <c r="C83" s="72"/>
      <c r="D83" s="73">
        <f t="shared" ref="D83:O83" si="6">D10+D37-D81</f>
        <v>-8143232.3850000016</v>
      </c>
      <c r="E83" s="73">
        <f t="shared" si="6"/>
        <v>-16525293.525</v>
      </c>
      <c r="F83" s="73">
        <f t="shared" si="6"/>
        <v>-18720364.954999998</v>
      </c>
      <c r="G83" s="73">
        <f t="shared" si="6"/>
        <v>-7907941.804999996</v>
      </c>
      <c r="H83" s="73">
        <f t="shared" si="6"/>
        <v>-9116198.5949999969</v>
      </c>
      <c r="I83" s="73">
        <f t="shared" si="6"/>
        <v>-7202983.3849999979</v>
      </c>
      <c r="J83" s="73">
        <f t="shared" si="6"/>
        <v>-5465792.4749999978</v>
      </c>
      <c r="K83" s="73">
        <f t="shared" si="6"/>
        <v>778136.33500000276</v>
      </c>
      <c r="L83" s="73">
        <f t="shared" si="6"/>
        <v>80125.245000002906</v>
      </c>
      <c r="M83" s="73">
        <f t="shared" si="6"/>
        <v>-8198820.6949999966</v>
      </c>
      <c r="N83" s="73">
        <f t="shared" si="6"/>
        <v>-9174257.0349999964</v>
      </c>
      <c r="O83" s="73">
        <f t="shared" si="6"/>
        <v>3513631.8750000037</v>
      </c>
      <c r="P83" s="6"/>
      <c r="Q83" s="74">
        <f>Q4+Q9-Q39</f>
        <v>3513631.8749999553</v>
      </c>
    </row>
    <row r="84" spans="1:18" ht="16" customHeight="1" thickTop="1">
      <c r="Q84" s="75"/>
    </row>
    <row r="85" spans="1:18" ht="16" hidden="1" customHeight="1">
      <c r="Q85" s="75">
        <f>ABS(Q83)</f>
        <v>3513631.8749999553</v>
      </c>
    </row>
    <row r="86" spans="1:18">
      <c r="O86" s="76" t="s">
        <v>73</v>
      </c>
      <c r="Q86" s="75">
        <f>IF(Q83&lt;0,ABS(Q85)/12%,0)</f>
        <v>0</v>
      </c>
      <c r="R86" s="77"/>
    </row>
    <row r="87" spans="1:18" hidden="1">
      <c r="O87" s="3" t="s">
        <v>74</v>
      </c>
      <c r="Q87" s="78">
        <f>Q86*9%</f>
        <v>0</v>
      </c>
    </row>
    <row r="88" spans="1:18" hidden="1">
      <c r="O88" s="3" t="s">
        <v>75</v>
      </c>
      <c r="Q88" s="78">
        <f>Q87+Q83</f>
        <v>3513631.8749999553</v>
      </c>
    </row>
    <row r="89" spans="1:18" s="79" customFormat="1" ht="13">
      <c r="C89" s="79" t="s">
        <v>76</v>
      </c>
      <c r="D89" s="80">
        <f t="shared" ref="D89:O89" si="7">SUM(D56:D79)</f>
        <v>2604228</v>
      </c>
      <c r="E89" s="80">
        <f t="shared" si="7"/>
        <v>5832216.0899999999</v>
      </c>
      <c r="F89" s="80">
        <f t="shared" si="7"/>
        <v>4248211.09</v>
      </c>
      <c r="G89" s="80">
        <f t="shared" si="7"/>
        <v>5324281.09</v>
      </c>
      <c r="H89" s="80">
        <f t="shared" si="7"/>
        <v>4288211.09</v>
      </c>
      <c r="I89" s="80">
        <f t="shared" si="7"/>
        <v>4288211.09</v>
      </c>
      <c r="J89" s="80">
        <f t="shared" si="7"/>
        <v>5476519.0899999999</v>
      </c>
      <c r="K89" s="80">
        <f t="shared" si="7"/>
        <v>4288211.09</v>
      </c>
      <c r="L89" s="80">
        <f t="shared" si="7"/>
        <v>4288211.09</v>
      </c>
      <c r="M89" s="80">
        <f t="shared" si="7"/>
        <v>5349281.09</v>
      </c>
      <c r="N89" s="80">
        <f t="shared" si="7"/>
        <v>4288211.09</v>
      </c>
      <c r="O89" s="80">
        <f t="shared" si="7"/>
        <v>4288211.09</v>
      </c>
    </row>
  </sheetData>
  <mergeCells count="4">
    <mergeCell ref="A1:Q1"/>
    <mergeCell ref="A2:Q2"/>
    <mergeCell ref="D5:O5"/>
    <mergeCell ref="B82:C82"/>
  </mergeCells>
  <pageMargins left="0.75" right="0.75" top="1" bottom="1" header="0.5" footer="0.5"/>
  <pageSetup paperSize="9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Zohan Ilahee</dc:creator>
  <cp:lastModifiedBy>Zohan Ilahee</cp:lastModifiedBy>
  <dcterms:created xsi:type="dcterms:W3CDTF">2026-04-09T19:50:20Z</dcterms:created>
  <dcterms:modified xsi:type="dcterms:W3CDTF">2026-04-09T19:50:32Z</dcterms:modified>
</cp:coreProperties>
</file>